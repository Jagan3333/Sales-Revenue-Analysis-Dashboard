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Analysis" sheetId="3" state="visible" r:id="rId3"/>
  </sheets>
  <definedNames>
    <definedName name="_xlnm.Print_Area" localSheetId="0">'Dashboard'!$A$1:$L$66</definedName>
    <definedName name="_xlnm._FilterDatabase" localSheetId="1" hidden="1">'Sales_Data'!$A$1:$K$181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-mmm-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22"/>
    </font>
    <font>
      <b val="1"/>
      <color rgb="001F4E78"/>
    </font>
    <font>
      <b val="1"/>
      <color rgb="001F4E78"/>
      <sz val="18"/>
    </font>
    <font>
      <i val="1"/>
      <color rgb="00666666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 style="thin">
        <color rgb="00D9E1F2"/>
      </left>
      <right/>
      <top/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/>
      <bottom/>
      <diagonal/>
    </border>
    <border>
      <left style="thin">
        <color rgb="00D9E1F2"/>
      </left>
      <right/>
      <top/>
      <bottom style="thin">
        <color rgb="00D9E1F2"/>
      </bottom>
      <diagonal/>
    </border>
    <border>
      <left/>
      <right/>
      <top/>
      <bottom style="thin">
        <color rgb="00D9E1F2"/>
      </bottom>
      <diagonal/>
    </border>
    <border>
      <left/>
      <right style="thin">
        <color rgb="00D9E1F2"/>
      </right>
      <top/>
      <bottom style="thin">
        <color rgb="00D9E1F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1" pivotButton="0" quotePrefix="0" xfId="0"/>
    <xf numFmtId="0" fontId="1" fillId="3" borderId="0" applyAlignment="1" pivotButton="0" quotePrefix="0" xfId="0">
      <alignment horizontal="center"/>
    </xf>
    <xf numFmtId="164" fontId="5" fillId="7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8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7" fillId="2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'Dashboard'!$G$10:$G$30</f>
            </numRef>
          </cat>
          <val>
            <numRef>
              <f>'Dashboard'!$H$10:$H$30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'Dashboard'!$A$10:$A$14</f>
            </numRef>
          </cat>
          <val>
            <numRef>
              <f>'Dashboard'!$B$10:$B$14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'Dashboard'!$D$10:$D$13</f>
            </numRef>
          </cat>
          <val>
            <numRef>
              <f>'Dashboard'!$E$10:$E$13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'Dashboard'!$J$10:$J$14</f>
            </numRef>
          </cat>
          <val>
            <numRef>
              <f>'Dashboard'!$K$10:$K$14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5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46</row>
      <rowOff>0</rowOff>
    </from>
    <ext cx="55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22" customWidth="1" min="4" max="4"/>
    <col width="18" customWidth="1" min="5" max="5"/>
    <col width="4" customWidth="1" min="6" max="6"/>
    <col width="16" customWidth="1" min="7" max="7"/>
    <col width="18" customWidth="1" min="8" max="8"/>
    <col width="4" customWidth="1" min="9" max="9"/>
    <col width="20" customWidth="1" min="10" max="10"/>
    <col width="18" customWidth="1" min="11" max="11"/>
    <col width="4" customWidth="1" min="12" max="12"/>
  </cols>
  <sheetData>
    <row r="1">
      <c r="A1" s="19" t="inlineStr">
        <is>
          <t>SALES &amp; REVENUE ANALYSIS DASHBOARD</t>
        </is>
      </c>
    </row>
    <row r="2"/>
    <row r="3">
      <c r="A3" s="2" t="inlineStr">
        <is>
          <t>Region</t>
        </is>
      </c>
      <c r="B3" s="3" t="inlineStr">
        <is>
          <t>All</t>
        </is>
      </c>
      <c r="D3" s="2" t="inlineStr">
        <is>
          <t>Category</t>
        </is>
      </c>
      <c r="E3" s="3" t="inlineStr">
        <is>
          <t>All</t>
        </is>
      </c>
      <c r="G3" s="2" t="inlineStr">
        <is>
          <t>Year</t>
        </is>
      </c>
      <c r="H3" s="3" t="inlineStr">
        <is>
          <t>All</t>
        </is>
      </c>
    </row>
    <row r="5">
      <c r="A5" s="4" t="inlineStr">
        <is>
          <t>TOTAL REVENUE</t>
        </is>
      </c>
      <c r="D5" s="4" t="inlineStr">
        <is>
          <t>UNITS SOLD</t>
        </is>
      </c>
      <c r="G5" s="4" t="inlineStr">
        <is>
          <t>TOTAL ORDERS</t>
        </is>
      </c>
      <c r="J5" s="4" t="inlineStr">
        <is>
          <t>AVG REVENUE</t>
        </is>
      </c>
    </row>
    <row r="6">
      <c r="A6" s="20">
        <f>IF($H$3="All",SUMIFS('Sales_Data'!$I$2:$I$181,'Sales_Data'!$C$2:$C$181,IF($B$3="All","*",$B$3),'Sales_Data'!$D$2:$D$181,IF($E$3="All","*",$E$3)),SUMIFS('Sales_Data'!$I$2:$I$181,'Sales_Data'!$C$2:$C$181,IF($B$3="All","*",$B$3),'Sales_Data'!$D$2:$D$181,IF($E$3="All","*",$E$3),'Sales_Data'!$K$2:$K$181,VALUE($H$3)))</f>
        <v/>
      </c>
      <c r="D6" s="6">
        <f>IF($H$3="All",SUMIFS('Sales_Data'!$F$2:$F$181,'Sales_Data'!$C$2:$C$181,IF($B$3="All","*",$B$3),'Sales_Data'!$D$2:$D$181,IF($E$3="All","*",$E$3)),SUMIFS('Sales_Data'!$F$2:$F$181,'Sales_Data'!$C$2:$C$181,IF($B$3="All","*",$B$3),'Sales_Data'!$D$2:$D$181,IF($E$3="All","*",$E$3),'Sales_Data'!$K$2:$K$181,VALUE($H$3)))</f>
        <v/>
      </c>
      <c r="G6" s="6">
        <f>IF($H$3="All",COUNTIFS('Sales_Data'!$C$2:$C$181,IF($B$3="All","*",$B$3),'Sales_Data'!$D$2:$D$181,IF($E$3="All","*",$E$3)),COUNTIFS('Sales_Data'!$C$2:$C$181,IF($B$3="All","*",$B$3),'Sales_Data'!$D$2:$D$181,IF($E$3="All","*",$E$3),'Sales_Data'!$K$2:$K$181,VALUE($H$3)))</f>
        <v/>
      </c>
      <c r="J6" s="20">
        <f>IFERROR(A6/G6,0)</f>
        <v/>
      </c>
    </row>
    <row r="7"/>
    <row r="9">
      <c r="A9" s="2" t="inlineStr">
        <is>
          <t>Revenue by Region</t>
        </is>
      </c>
      <c r="D9" s="2" t="inlineStr">
        <is>
          <t>Revenue by Category</t>
        </is>
      </c>
      <c r="G9" s="2" t="inlineStr">
        <is>
          <t>Monthly Revenue</t>
        </is>
      </c>
      <c r="J9" s="2" t="inlineStr">
        <is>
          <t>Top 5 Products</t>
        </is>
      </c>
    </row>
    <row r="10">
      <c r="A10" t="inlineStr">
        <is>
          <t>Central</t>
        </is>
      </c>
      <c r="B10" s="21">
        <f>IF($H$3="All",SUMIFS('Sales_Data'!$I$2:$I$181,'Sales_Data'!$C$2:$C$181,IF($B$3="All","*",$B$3),'Sales_Data'!$D$2:$D$181,IF($E$3="All","*",$E$3),'Sales_Data'!$C$2:$C$181,"Central"),SUMIFS('Sales_Data'!$I$2:$I$181,'Sales_Data'!$C$2:$C$181,IF($B$3="All","*",$B$3),'Sales_Data'!$D$2:$D$181,IF($E$3="All","*",$E$3),'Sales_Data'!$C$2:$C$181,"Central",'Sales_Data'!$K$2:$K$181,VALUE($H$3)))</f>
        <v/>
      </c>
      <c r="D10" t="inlineStr">
        <is>
          <t>Accessories</t>
        </is>
      </c>
      <c r="E10" s="21">
        <f>IF($H$3="All",SUMIFS('Sales_Data'!$I$2:$I$181,'Sales_Data'!$C$2:$C$181,IF($B$3="All","*",$B$3),'Sales_Data'!$D$2:$D$181,IF($E$3="All","*",$E$3),'Sales_Data'!$D$2:$D$181,"Accessories"),SUMIFS('Sales_Data'!$I$2:$I$181,'Sales_Data'!$C$2:$C$181,IF($B$3="All","*",$B$3),'Sales_Data'!$D$2:$D$181,IF($E$3="All","*",$E$3),'Sales_Data'!$D$2:$D$181,"Accessories",'Sales_Data'!$K$2:$K$181,VALUE($H$3)))</f>
        <v/>
      </c>
      <c r="G10" t="inlineStr">
        <is>
          <t>2025-Jan</t>
        </is>
      </c>
      <c r="H10" s="21">
        <f>IF($H$3="All",SUMIFS('Sales_Data'!$I$2:$I$181,'Sales_Data'!$C$2:$C$181,IF($B$3="All","*",$B$3),'Sales_Data'!$D$2:$D$181,IF($E$3="All","*",$E$3),'Sales_Data'!$K$2:$K$181,2025,'Sales_Data'!$J$2:$J$181,"Jan"),SUMIFS('Sales_Data'!$I$2:$I$181,'Sales_Data'!$C$2:$C$181,IF($B$3="All","*",$B$3),'Sales_Data'!$D$2:$D$181,IF($E$3="All","*",$E$3),'Sales_Data'!$K$2:$K$181,2025,'Sales_Data'!$J$2:$J$181,"Jan",'Sales_Data'!$K$2:$K$181,VALUE($H$3)))</f>
        <v/>
      </c>
      <c r="J10" t="inlineStr">
        <is>
          <t>Laptop</t>
        </is>
      </c>
      <c r="K10" s="21">
        <f>IF($H$3="All",SUMIFS('Sales_Data'!$I$2:$I$181,'Sales_Data'!$C$2:$C$181,IF($B$3="All","*",$B$3),'Sales_Data'!$D$2:$D$181,IF($E$3="All","*",$E$3),'Sales_Data'!$E$2:$E$181,"Laptop"),SUMIFS('Sales_Data'!$I$2:$I$181,'Sales_Data'!$C$2:$C$181,IF($B$3="All","*",$B$3),'Sales_Data'!$D$2:$D$181,IF($E$3="All","*",$E$3),'Sales_Data'!$E$2:$E$181,"Laptop",'Sales_Data'!$K$2:$K$181,VALUE($H$3)))</f>
        <v/>
      </c>
    </row>
    <row r="11">
      <c r="A11" t="inlineStr">
        <is>
          <t>East</t>
        </is>
      </c>
      <c r="B11" s="21">
        <f>IF($H$3="All",SUMIFS('Sales_Data'!$I$2:$I$181,'Sales_Data'!$C$2:$C$181,IF($B$3="All","*",$B$3),'Sales_Data'!$D$2:$D$181,IF($E$3="All","*",$E$3),'Sales_Data'!$C$2:$C$181,"East"),SUMIFS('Sales_Data'!$I$2:$I$181,'Sales_Data'!$C$2:$C$181,IF($B$3="All","*",$B$3),'Sales_Data'!$D$2:$D$181,IF($E$3="All","*",$E$3),'Sales_Data'!$C$2:$C$181,"East",'Sales_Data'!$K$2:$K$181,VALUE($H$3)))</f>
        <v/>
      </c>
      <c r="D11" t="inlineStr">
        <is>
          <t>Electronics</t>
        </is>
      </c>
      <c r="E11" s="21">
        <f>IF($H$3="All",SUMIFS('Sales_Data'!$I$2:$I$181,'Sales_Data'!$C$2:$C$181,IF($B$3="All","*",$B$3),'Sales_Data'!$D$2:$D$181,IF($E$3="All","*",$E$3),'Sales_Data'!$D$2:$D$181,"Electronics"),SUMIFS('Sales_Data'!$I$2:$I$181,'Sales_Data'!$C$2:$C$181,IF($B$3="All","*",$B$3),'Sales_Data'!$D$2:$D$181,IF($E$3="All","*",$E$3),'Sales_Data'!$D$2:$D$181,"Electronics",'Sales_Data'!$K$2:$K$181,VALUE($H$3)))</f>
        <v/>
      </c>
      <c r="G11" t="inlineStr">
        <is>
          <t>2025-Feb</t>
        </is>
      </c>
      <c r="H11" s="21">
        <f>IF($H$3="All",SUMIFS('Sales_Data'!$I$2:$I$181,'Sales_Data'!$C$2:$C$181,IF($B$3="All","*",$B$3),'Sales_Data'!$D$2:$D$181,IF($E$3="All","*",$E$3),'Sales_Data'!$K$2:$K$181,2025,'Sales_Data'!$J$2:$J$181,"Feb"),SUMIFS('Sales_Data'!$I$2:$I$181,'Sales_Data'!$C$2:$C$181,IF($B$3="All","*",$B$3),'Sales_Data'!$D$2:$D$181,IF($E$3="All","*",$E$3),'Sales_Data'!$K$2:$K$181,2025,'Sales_Data'!$J$2:$J$181,"Feb",'Sales_Data'!$K$2:$K$181,VALUE($H$3)))</f>
        <v/>
      </c>
      <c r="J11" t="inlineStr">
        <is>
          <t>Smartphone</t>
        </is>
      </c>
      <c r="K11" s="21">
        <f>IF($H$3="All",SUMIFS('Sales_Data'!$I$2:$I$181,'Sales_Data'!$C$2:$C$181,IF($B$3="All","*",$B$3),'Sales_Data'!$D$2:$D$181,IF($E$3="All","*",$E$3),'Sales_Data'!$E$2:$E$181,"Smartphone"),SUMIFS('Sales_Data'!$I$2:$I$181,'Sales_Data'!$C$2:$C$181,IF($B$3="All","*",$B$3),'Sales_Data'!$D$2:$D$181,IF($E$3="All","*",$E$3),'Sales_Data'!$E$2:$E$181,"Smartphone",'Sales_Data'!$K$2:$K$181,VALUE($H$3)))</f>
        <v/>
      </c>
    </row>
    <row r="12">
      <c r="A12" t="inlineStr">
        <is>
          <t>North</t>
        </is>
      </c>
      <c r="B12" s="21">
        <f>IF($H$3="All",SUMIFS('Sales_Data'!$I$2:$I$181,'Sales_Data'!$C$2:$C$181,IF($B$3="All","*",$B$3),'Sales_Data'!$D$2:$D$181,IF($E$3="All","*",$E$3),'Sales_Data'!$C$2:$C$181,"North"),SUMIFS('Sales_Data'!$I$2:$I$181,'Sales_Data'!$C$2:$C$181,IF($B$3="All","*",$B$3),'Sales_Data'!$D$2:$D$181,IF($E$3="All","*",$E$3),'Sales_Data'!$C$2:$C$181,"North",'Sales_Data'!$K$2:$K$181,VALUE($H$3)))</f>
        <v/>
      </c>
      <c r="D12" t="inlineStr">
        <is>
          <t>Furniture</t>
        </is>
      </c>
      <c r="E12" s="21">
        <f>IF($H$3="All",SUMIFS('Sales_Data'!$I$2:$I$181,'Sales_Data'!$C$2:$C$181,IF($B$3="All","*",$B$3),'Sales_Data'!$D$2:$D$181,IF($E$3="All","*",$E$3),'Sales_Data'!$D$2:$D$181,"Furniture"),SUMIFS('Sales_Data'!$I$2:$I$181,'Sales_Data'!$C$2:$C$181,IF($B$3="All","*",$B$3),'Sales_Data'!$D$2:$D$181,IF($E$3="All","*",$E$3),'Sales_Data'!$D$2:$D$181,"Furniture",'Sales_Data'!$K$2:$K$181,VALUE($H$3)))</f>
        <v/>
      </c>
      <c r="G12" t="inlineStr">
        <is>
          <t>2025-Mar</t>
        </is>
      </c>
      <c r="H12" s="21">
        <f>IF($H$3="All",SUMIFS('Sales_Data'!$I$2:$I$181,'Sales_Data'!$C$2:$C$181,IF($B$3="All","*",$B$3),'Sales_Data'!$D$2:$D$181,IF($E$3="All","*",$E$3),'Sales_Data'!$K$2:$K$181,2025,'Sales_Data'!$J$2:$J$181,"Mar"),SUMIFS('Sales_Data'!$I$2:$I$181,'Sales_Data'!$C$2:$C$181,IF($B$3="All","*",$B$3),'Sales_Data'!$D$2:$D$181,IF($E$3="All","*",$E$3),'Sales_Data'!$K$2:$K$181,2025,'Sales_Data'!$J$2:$J$181,"Mar",'Sales_Data'!$K$2:$K$181,VALUE($H$3)))</f>
        <v/>
      </c>
      <c r="J12" t="inlineStr">
        <is>
          <t>Monitor</t>
        </is>
      </c>
      <c r="K12" s="21">
        <f>IF($H$3="All",SUMIFS('Sales_Data'!$I$2:$I$181,'Sales_Data'!$C$2:$C$181,IF($B$3="All","*",$B$3),'Sales_Data'!$D$2:$D$181,IF($E$3="All","*",$E$3),'Sales_Data'!$E$2:$E$181,"Monitor"),SUMIFS('Sales_Data'!$I$2:$I$181,'Sales_Data'!$C$2:$C$181,IF($B$3="All","*",$B$3),'Sales_Data'!$D$2:$D$181,IF($E$3="All","*",$E$3),'Sales_Data'!$E$2:$E$181,"Monitor",'Sales_Data'!$K$2:$K$181,VALUE($H$3)))</f>
        <v/>
      </c>
    </row>
    <row r="13">
      <c r="A13" t="inlineStr">
        <is>
          <t>South</t>
        </is>
      </c>
      <c r="B13" s="21">
        <f>IF($H$3="All",SUMIFS('Sales_Data'!$I$2:$I$181,'Sales_Data'!$C$2:$C$181,IF($B$3="All","*",$B$3),'Sales_Data'!$D$2:$D$181,IF($E$3="All","*",$E$3),'Sales_Data'!$C$2:$C$181,"South"),SUMIFS('Sales_Data'!$I$2:$I$181,'Sales_Data'!$C$2:$C$181,IF($B$3="All","*",$B$3),'Sales_Data'!$D$2:$D$181,IF($E$3="All","*",$E$3),'Sales_Data'!$C$2:$C$181,"South",'Sales_Data'!$K$2:$K$181,VALUE($H$3)))</f>
        <v/>
      </c>
      <c r="D13" t="inlineStr">
        <is>
          <t>Office Equipment</t>
        </is>
      </c>
      <c r="E13" s="21">
        <f>IF($H$3="All",SUMIFS('Sales_Data'!$I$2:$I$181,'Sales_Data'!$C$2:$C$181,IF($B$3="All","*",$B$3),'Sales_Data'!$D$2:$D$181,IF($E$3="All","*",$E$3),'Sales_Data'!$D$2:$D$181,"Office Equipment"),SUMIFS('Sales_Data'!$I$2:$I$181,'Sales_Data'!$C$2:$C$181,IF($B$3="All","*",$B$3),'Sales_Data'!$D$2:$D$181,IF($E$3="All","*",$E$3),'Sales_Data'!$D$2:$D$181,"Office Equipment",'Sales_Data'!$K$2:$K$181,VALUE($H$3)))</f>
        <v/>
      </c>
      <c r="G13" t="inlineStr">
        <is>
          <t>2025-Apr</t>
        </is>
      </c>
      <c r="H13" s="21">
        <f>IF($H$3="All",SUMIFS('Sales_Data'!$I$2:$I$181,'Sales_Data'!$C$2:$C$181,IF($B$3="All","*",$B$3),'Sales_Data'!$D$2:$D$181,IF($E$3="All","*",$E$3),'Sales_Data'!$K$2:$K$181,2025,'Sales_Data'!$J$2:$J$181,"Apr"),SUMIFS('Sales_Data'!$I$2:$I$181,'Sales_Data'!$C$2:$C$181,IF($B$3="All","*",$B$3),'Sales_Data'!$D$2:$D$181,IF($E$3="All","*",$E$3),'Sales_Data'!$K$2:$K$181,2025,'Sales_Data'!$J$2:$J$181,"Apr",'Sales_Data'!$K$2:$K$181,VALUE($H$3)))</f>
        <v/>
      </c>
      <c r="J13" t="inlineStr">
        <is>
          <t>Desk</t>
        </is>
      </c>
      <c r="K13" s="21">
        <f>IF($H$3="All",SUMIFS('Sales_Data'!$I$2:$I$181,'Sales_Data'!$C$2:$C$181,IF($B$3="All","*",$B$3),'Sales_Data'!$D$2:$D$181,IF($E$3="All","*",$E$3),'Sales_Data'!$E$2:$E$181,"Desk"),SUMIFS('Sales_Data'!$I$2:$I$181,'Sales_Data'!$C$2:$C$181,IF($B$3="All","*",$B$3),'Sales_Data'!$D$2:$D$181,IF($E$3="All","*",$E$3),'Sales_Data'!$E$2:$E$181,"Desk",'Sales_Data'!$K$2:$K$181,VALUE($H$3)))</f>
        <v/>
      </c>
    </row>
    <row r="14">
      <c r="A14" t="inlineStr">
        <is>
          <t>West</t>
        </is>
      </c>
      <c r="B14" s="21">
        <f>IF($H$3="All",SUMIFS('Sales_Data'!$I$2:$I$181,'Sales_Data'!$C$2:$C$181,IF($B$3="All","*",$B$3),'Sales_Data'!$D$2:$D$181,IF($E$3="All","*",$E$3),'Sales_Data'!$C$2:$C$181,"West"),SUMIFS('Sales_Data'!$I$2:$I$181,'Sales_Data'!$C$2:$C$181,IF($B$3="All","*",$B$3),'Sales_Data'!$D$2:$D$181,IF($E$3="All","*",$E$3),'Sales_Data'!$C$2:$C$181,"West",'Sales_Data'!$K$2:$K$181,VALUE($H$3)))</f>
        <v/>
      </c>
      <c r="G14" t="inlineStr">
        <is>
          <t>2025-May</t>
        </is>
      </c>
      <c r="H14" s="21">
        <f>IF($H$3="All",SUMIFS('Sales_Data'!$I$2:$I$181,'Sales_Data'!$C$2:$C$181,IF($B$3="All","*",$B$3),'Sales_Data'!$D$2:$D$181,IF($E$3="All","*",$E$3),'Sales_Data'!$K$2:$K$181,2025,'Sales_Data'!$J$2:$J$181,"May"),SUMIFS('Sales_Data'!$I$2:$I$181,'Sales_Data'!$C$2:$C$181,IF($B$3="All","*",$B$3),'Sales_Data'!$D$2:$D$181,IF($E$3="All","*",$E$3),'Sales_Data'!$K$2:$K$181,2025,'Sales_Data'!$J$2:$J$181,"May",'Sales_Data'!$K$2:$K$181,VALUE($H$3)))</f>
        <v/>
      </c>
      <c r="J14" t="inlineStr">
        <is>
          <t>Printer</t>
        </is>
      </c>
      <c r="K14" s="21">
        <f>IF($H$3="All",SUMIFS('Sales_Data'!$I$2:$I$181,'Sales_Data'!$C$2:$C$181,IF($B$3="All","*",$B$3),'Sales_Data'!$D$2:$D$181,IF($E$3="All","*",$E$3),'Sales_Data'!$E$2:$E$181,"Printer"),SUMIFS('Sales_Data'!$I$2:$I$181,'Sales_Data'!$C$2:$C$181,IF($B$3="All","*",$B$3),'Sales_Data'!$D$2:$D$181,IF($E$3="All","*",$E$3),'Sales_Data'!$E$2:$E$181,"Printer",'Sales_Data'!$K$2:$K$181,VALUE($H$3)))</f>
        <v/>
      </c>
    </row>
    <row r="15">
      <c r="G15" t="inlineStr">
        <is>
          <t>2025-Jun</t>
        </is>
      </c>
      <c r="H15" s="21">
        <f>IF($H$3="All",SUMIFS('Sales_Data'!$I$2:$I$181,'Sales_Data'!$C$2:$C$181,IF($B$3="All","*",$B$3),'Sales_Data'!$D$2:$D$181,IF($E$3="All","*",$E$3),'Sales_Data'!$K$2:$K$181,2025,'Sales_Data'!$J$2:$J$181,"Jun"),SUMIFS('Sales_Data'!$I$2:$I$181,'Sales_Data'!$C$2:$C$181,IF($B$3="All","*",$B$3),'Sales_Data'!$D$2:$D$181,IF($E$3="All","*",$E$3),'Sales_Data'!$K$2:$K$181,2025,'Sales_Data'!$J$2:$J$181,"Jun",'Sales_Data'!$K$2:$K$181,VALUE($H$3)))</f>
        <v/>
      </c>
    </row>
    <row r="16">
      <c r="G16" t="inlineStr">
        <is>
          <t>2025-Jul</t>
        </is>
      </c>
      <c r="H16" s="21">
        <f>IF($H$3="All",SUMIFS('Sales_Data'!$I$2:$I$181,'Sales_Data'!$C$2:$C$181,IF($B$3="All","*",$B$3),'Sales_Data'!$D$2:$D$181,IF($E$3="All","*",$E$3),'Sales_Data'!$K$2:$K$181,2025,'Sales_Data'!$J$2:$J$181,"Jul"),SUMIFS('Sales_Data'!$I$2:$I$181,'Sales_Data'!$C$2:$C$181,IF($B$3="All","*",$B$3),'Sales_Data'!$D$2:$D$181,IF($E$3="All","*",$E$3),'Sales_Data'!$K$2:$K$181,2025,'Sales_Data'!$J$2:$J$181,"Jul",'Sales_Data'!$K$2:$K$181,VALUE($H$3)))</f>
        <v/>
      </c>
    </row>
    <row r="17">
      <c r="G17" t="inlineStr">
        <is>
          <t>2025-Aug</t>
        </is>
      </c>
      <c r="H17" s="21">
        <f>IF($H$3="All",SUMIFS('Sales_Data'!$I$2:$I$181,'Sales_Data'!$C$2:$C$181,IF($B$3="All","*",$B$3),'Sales_Data'!$D$2:$D$181,IF($E$3="All","*",$E$3),'Sales_Data'!$K$2:$K$181,2025,'Sales_Data'!$J$2:$J$181,"Aug"),SUMIFS('Sales_Data'!$I$2:$I$181,'Sales_Data'!$C$2:$C$181,IF($B$3="All","*",$B$3),'Sales_Data'!$D$2:$D$181,IF($E$3="All","*",$E$3),'Sales_Data'!$K$2:$K$181,2025,'Sales_Data'!$J$2:$J$181,"Aug",'Sales_Data'!$K$2:$K$181,VALUE($H$3)))</f>
        <v/>
      </c>
    </row>
    <row r="18">
      <c r="G18" t="inlineStr">
        <is>
          <t>2025-Sep</t>
        </is>
      </c>
      <c r="H18" s="21">
        <f>IF($H$3="All",SUMIFS('Sales_Data'!$I$2:$I$181,'Sales_Data'!$C$2:$C$181,IF($B$3="All","*",$B$3),'Sales_Data'!$D$2:$D$181,IF($E$3="All","*",$E$3),'Sales_Data'!$K$2:$K$181,2025,'Sales_Data'!$J$2:$J$181,"Sep"),SUMIFS('Sales_Data'!$I$2:$I$181,'Sales_Data'!$C$2:$C$181,IF($B$3="All","*",$B$3),'Sales_Data'!$D$2:$D$181,IF($E$3="All","*",$E$3),'Sales_Data'!$K$2:$K$181,2025,'Sales_Data'!$J$2:$J$181,"Sep",'Sales_Data'!$K$2:$K$181,VALUE($H$3)))</f>
        <v/>
      </c>
    </row>
    <row r="19">
      <c r="G19" t="inlineStr">
        <is>
          <t>2025-Oct</t>
        </is>
      </c>
      <c r="H19" s="21">
        <f>IF($H$3="All",SUMIFS('Sales_Data'!$I$2:$I$181,'Sales_Data'!$C$2:$C$181,IF($B$3="All","*",$B$3),'Sales_Data'!$D$2:$D$181,IF($E$3="All","*",$E$3),'Sales_Data'!$K$2:$K$181,2025,'Sales_Data'!$J$2:$J$181,"Oct"),SUMIFS('Sales_Data'!$I$2:$I$181,'Sales_Data'!$C$2:$C$181,IF($B$3="All","*",$B$3),'Sales_Data'!$D$2:$D$181,IF($E$3="All","*",$E$3),'Sales_Data'!$K$2:$K$181,2025,'Sales_Data'!$J$2:$J$181,"Oct",'Sales_Data'!$K$2:$K$181,VALUE($H$3)))</f>
        <v/>
      </c>
    </row>
    <row r="20">
      <c r="G20" t="inlineStr">
        <is>
          <t>2025-Nov</t>
        </is>
      </c>
      <c r="H20" s="21">
        <f>IF($H$3="All",SUMIFS('Sales_Data'!$I$2:$I$181,'Sales_Data'!$C$2:$C$181,IF($B$3="All","*",$B$3),'Sales_Data'!$D$2:$D$181,IF($E$3="All","*",$E$3),'Sales_Data'!$K$2:$K$181,2025,'Sales_Data'!$J$2:$J$181,"Nov"),SUMIFS('Sales_Data'!$I$2:$I$181,'Sales_Data'!$C$2:$C$181,IF($B$3="All","*",$B$3),'Sales_Data'!$D$2:$D$181,IF($E$3="All","*",$E$3),'Sales_Data'!$K$2:$K$181,2025,'Sales_Data'!$J$2:$J$181,"Nov",'Sales_Data'!$K$2:$K$181,VALUE($H$3)))</f>
        <v/>
      </c>
    </row>
    <row r="21">
      <c r="G21" t="inlineStr">
        <is>
          <t>2025-Dec</t>
        </is>
      </c>
      <c r="H21" s="21">
        <f>IF($H$3="All",SUMIFS('Sales_Data'!$I$2:$I$181,'Sales_Data'!$C$2:$C$181,IF($B$3="All","*",$B$3),'Sales_Data'!$D$2:$D$181,IF($E$3="All","*",$E$3),'Sales_Data'!$K$2:$K$181,2025,'Sales_Data'!$J$2:$J$181,"Dec"),SUMIFS('Sales_Data'!$I$2:$I$181,'Sales_Data'!$C$2:$C$181,IF($B$3="All","*",$B$3),'Sales_Data'!$D$2:$D$181,IF($E$3="All","*",$E$3),'Sales_Data'!$K$2:$K$181,2025,'Sales_Data'!$J$2:$J$181,"Dec",'Sales_Data'!$K$2:$K$181,VALUE($H$3)))</f>
        <v/>
      </c>
    </row>
    <row r="22">
      <c r="G22" t="inlineStr">
        <is>
          <t>2026-Jan</t>
        </is>
      </c>
      <c r="H22" s="21">
        <f>IF($H$3="All",SUMIFS('Sales_Data'!$I$2:$I$181,'Sales_Data'!$C$2:$C$181,IF($B$3="All","*",$B$3),'Sales_Data'!$D$2:$D$181,IF($E$3="All","*",$E$3),'Sales_Data'!$K$2:$K$181,2026,'Sales_Data'!$J$2:$J$181,"Jan"),SUMIFS('Sales_Data'!$I$2:$I$181,'Sales_Data'!$C$2:$C$181,IF($B$3="All","*",$B$3),'Sales_Data'!$D$2:$D$181,IF($E$3="All","*",$E$3),'Sales_Data'!$K$2:$K$181,2026,'Sales_Data'!$J$2:$J$181,"Jan",'Sales_Data'!$K$2:$K$181,VALUE($H$3)))</f>
        <v/>
      </c>
    </row>
    <row r="23">
      <c r="G23" t="inlineStr">
        <is>
          <t>2026-Feb</t>
        </is>
      </c>
      <c r="H23" s="21">
        <f>IF($H$3="All",SUMIFS('Sales_Data'!$I$2:$I$181,'Sales_Data'!$C$2:$C$181,IF($B$3="All","*",$B$3),'Sales_Data'!$D$2:$D$181,IF($E$3="All","*",$E$3),'Sales_Data'!$K$2:$K$181,2026,'Sales_Data'!$J$2:$J$181,"Feb"),SUMIFS('Sales_Data'!$I$2:$I$181,'Sales_Data'!$C$2:$C$181,IF($B$3="All","*",$B$3),'Sales_Data'!$D$2:$D$181,IF($E$3="All","*",$E$3),'Sales_Data'!$K$2:$K$181,2026,'Sales_Data'!$J$2:$J$181,"Feb",'Sales_Data'!$K$2:$K$181,VALUE($H$3)))</f>
        <v/>
      </c>
    </row>
    <row r="24">
      <c r="G24" t="inlineStr">
        <is>
          <t>2026-Mar</t>
        </is>
      </c>
      <c r="H24" s="21">
        <f>IF($H$3="All",SUMIFS('Sales_Data'!$I$2:$I$181,'Sales_Data'!$C$2:$C$181,IF($B$3="All","*",$B$3),'Sales_Data'!$D$2:$D$181,IF($E$3="All","*",$E$3),'Sales_Data'!$K$2:$K$181,2026,'Sales_Data'!$J$2:$J$181,"Mar"),SUMIFS('Sales_Data'!$I$2:$I$181,'Sales_Data'!$C$2:$C$181,IF($B$3="All","*",$B$3),'Sales_Data'!$D$2:$D$181,IF($E$3="All","*",$E$3),'Sales_Data'!$K$2:$K$181,2026,'Sales_Data'!$J$2:$J$181,"Mar",'Sales_Data'!$K$2:$K$181,VALUE($H$3)))</f>
        <v/>
      </c>
    </row>
    <row r="25">
      <c r="G25" t="inlineStr">
        <is>
          <t>2026-Apr</t>
        </is>
      </c>
      <c r="H25" s="21">
        <f>IF($H$3="All",SUMIFS('Sales_Data'!$I$2:$I$181,'Sales_Data'!$C$2:$C$181,IF($B$3="All","*",$B$3),'Sales_Data'!$D$2:$D$181,IF($E$3="All","*",$E$3),'Sales_Data'!$K$2:$K$181,2026,'Sales_Data'!$J$2:$J$181,"Apr"),SUMIFS('Sales_Data'!$I$2:$I$181,'Sales_Data'!$C$2:$C$181,IF($B$3="All","*",$B$3),'Sales_Data'!$D$2:$D$181,IF($E$3="All","*",$E$3),'Sales_Data'!$K$2:$K$181,2026,'Sales_Data'!$J$2:$J$181,"Apr",'Sales_Data'!$K$2:$K$181,VALUE($H$3)))</f>
        <v/>
      </c>
    </row>
    <row r="26">
      <c r="G26" t="inlineStr">
        <is>
          <t>2026-May</t>
        </is>
      </c>
      <c r="H26" s="21">
        <f>IF($H$3="All",SUMIFS('Sales_Data'!$I$2:$I$181,'Sales_Data'!$C$2:$C$181,IF($B$3="All","*",$B$3),'Sales_Data'!$D$2:$D$181,IF($E$3="All","*",$E$3),'Sales_Data'!$K$2:$K$181,2026,'Sales_Data'!$J$2:$J$181,"May"),SUMIFS('Sales_Data'!$I$2:$I$181,'Sales_Data'!$C$2:$C$181,IF($B$3="All","*",$B$3),'Sales_Data'!$D$2:$D$181,IF($E$3="All","*",$E$3),'Sales_Data'!$K$2:$K$181,2026,'Sales_Data'!$J$2:$J$181,"May",'Sales_Data'!$K$2:$K$181,VALUE($H$3)))</f>
        <v/>
      </c>
    </row>
    <row r="27">
      <c r="G27" t="inlineStr">
        <is>
          <t>2026-Jun</t>
        </is>
      </c>
      <c r="H27" s="21">
        <f>IF($H$3="All",SUMIFS('Sales_Data'!$I$2:$I$181,'Sales_Data'!$C$2:$C$181,IF($B$3="All","*",$B$3),'Sales_Data'!$D$2:$D$181,IF($E$3="All","*",$E$3),'Sales_Data'!$K$2:$K$181,2026,'Sales_Data'!$J$2:$J$181,"Jun"),SUMIFS('Sales_Data'!$I$2:$I$181,'Sales_Data'!$C$2:$C$181,IF($B$3="All","*",$B$3),'Sales_Data'!$D$2:$D$181,IF($E$3="All","*",$E$3),'Sales_Data'!$K$2:$K$181,2026,'Sales_Data'!$J$2:$J$181,"Jun",'Sales_Data'!$K$2:$K$181,VALUE($H$3)))</f>
        <v/>
      </c>
    </row>
    <row r="28">
      <c r="G28" t="inlineStr">
        <is>
          <t>2026-Jul</t>
        </is>
      </c>
      <c r="H28" s="21">
        <f>IF($H$3="All",SUMIFS('Sales_Data'!$I$2:$I$181,'Sales_Data'!$C$2:$C$181,IF($B$3="All","*",$B$3),'Sales_Data'!$D$2:$D$181,IF($E$3="All","*",$E$3),'Sales_Data'!$K$2:$K$181,2026,'Sales_Data'!$J$2:$J$181,"Jul"),SUMIFS('Sales_Data'!$I$2:$I$181,'Sales_Data'!$C$2:$C$181,IF($B$3="All","*",$B$3),'Sales_Data'!$D$2:$D$181,IF($E$3="All","*",$E$3),'Sales_Data'!$K$2:$K$181,2026,'Sales_Data'!$J$2:$J$181,"Jul",'Sales_Data'!$K$2:$K$181,VALUE($H$3)))</f>
        <v/>
      </c>
    </row>
    <row r="29">
      <c r="G29" t="inlineStr">
        <is>
          <t>2026-Aug</t>
        </is>
      </c>
      <c r="H29" s="21">
        <f>IF($H$3="All",SUMIFS('Sales_Data'!$I$2:$I$181,'Sales_Data'!$C$2:$C$181,IF($B$3="All","*",$B$3),'Sales_Data'!$D$2:$D$181,IF($E$3="All","*",$E$3),'Sales_Data'!$K$2:$K$181,2026,'Sales_Data'!$J$2:$J$181,"Aug"),SUMIFS('Sales_Data'!$I$2:$I$181,'Sales_Data'!$C$2:$C$181,IF($B$3="All","*",$B$3),'Sales_Data'!$D$2:$D$181,IF($E$3="All","*",$E$3),'Sales_Data'!$K$2:$K$181,2026,'Sales_Data'!$J$2:$J$181,"Aug",'Sales_Data'!$K$2:$K$181,VALUE($H$3)))</f>
        <v/>
      </c>
    </row>
    <row r="30">
      <c r="G30" t="inlineStr">
        <is>
          <t>2026-Sep</t>
        </is>
      </c>
      <c r="H30" s="21">
        <f>IF($H$3="All",SUMIFS('Sales_Data'!$I$2:$I$181,'Sales_Data'!$C$2:$C$181,IF($B$3="All","*",$B$3),'Sales_Data'!$D$2:$D$181,IF($E$3="All","*",$E$3),'Sales_Data'!$K$2:$K$181,2026,'Sales_Data'!$J$2:$J$181,"Sep"),SUMIFS('Sales_Data'!$I$2:$I$181,'Sales_Data'!$C$2:$C$181,IF($B$3="All","*",$B$3),'Sales_Data'!$D$2:$D$181,IF($E$3="All","*",$E$3),'Sales_Data'!$K$2:$K$181,2026,'Sales_Data'!$J$2:$J$181,"Sep",'Sales_Data'!$K$2:$K$181,VALUE($H$3)))</f>
        <v/>
      </c>
    </row>
    <row r="32">
      <c r="H32" s="8" t="inlineStr">
        <is>
          <t>KEY INSIGHTS
1. Highest revenue region: West — ₹5,925,793.15.
2. Lowest revenue region: South — ₹3,294,850.20.
3. Highest revenue category: Electronics — ₹18,560,168.61.
4. Top revenue-generating product: Laptop — ₹9,136,020.16.
5. Monthly revenue fluctuates considerably. Highest: May 2025 — ₹2,335,952.54. Lowest: August 2025 — ₹514,754.86.</t>
        </is>
      </c>
      <c r="I32" s="22" t="n"/>
      <c r="J32" s="22" t="n"/>
      <c r="K32" s="22" t="n"/>
      <c r="L32" s="23" t="n"/>
    </row>
    <row r="33">
      <c r="H33" s="24" t="n"/>
      <c r="L33" s="25" t="n"/>
    </row>
    <row r="34">
      <c r="H34" s="24" t="n"/>
      <c r="L34" s="25" t="n"/>
    </row>
    <row r="35">
      <c r="H35" s="24" t="n"/>
      <c r="L35" s="25" t="n"/>
    </row>
    <row r="36">
      <c r="H36" s="24" t="n"/>
      <c r="L36" s="25" t="n"/>
    </row>
    <row r="37">
      <c r="H37" s="24" t="n"/>
      <c r="L37" s="25" t="n"/>
    </row>
    <row r="38">
      <c r="H38" s="24" t="n"/>
      <c r="L38" s="25" t="n"/>
    </row>
    <row r="39">
      <c r="H39" s="24" t="n"/>
      <c r="L39" s="25" t="n"/>
    </row>
    <row r="40">
      <c r="H40" s="24" t="n"/>
      <c r="L40" s="25" t="n"/>
    </row>
    <row r="41">
      <c r="H41" s="24" t="n"/>
      <c r="L41" s="25" t="n"/>
    </row>
    <row r="42">
      <c r="H42" s="24" t="n"/>
      <c r="L42" s="25" t="n"/>
    </row>
    <row r="43">
      <c r="H43" s="24" t="n"/>
      <c r="L43" s="25" t="n"/>
    </row>
    <row r="44">
      <c r="H44" s="24" t="n"/>
      <c r="L44" s="25" t="n"/>
    </row>
    <row r="45">
      <c r="H45" s="26" t="n"/>
      <c r="I45" s="27" t="n"/>
      <c r="J45" s="27" t="n"/>
      <c r="K45" s="27" t="n"/>
      <c r="L45" s="28" t="n"/>
    </row>
    <row r="65">
      <c r="A65" s="9" t="inlineStr">
        <is>
          <t>Prepared for Internship Submission | Jagan Mohan Reddy</t>
        </is>
      </c>
    </row>
    <row r="66"/>
  </sheetData>
  <mergeCells count="11">
    <mergeCell ref="J5:L5"/>
    <mergeCell ref="A6:C7"/>
    <mergeCell ref="G6:I7"/>
    <mergeCell ref="D6:F7"/>
    <mergeCell ref="J6:L7"/>
    <mergeCell ref="H32:L45"/>
    <mergeCell ref="D5:F5"/>
    <mergeCell ref="A5:C5"/>
    <mergeCell ref="G5:I5"/>
    <mergeCell ref="A1:L2"/>
    <mergeCell ref="A65:L66"/>
  </mergeCells>
  <dataValidations count="3">
    <dataValidation sqref="B3" showDropDown="0" showInputMessage="0" showErrorMessage="0" allowBlank="0" type="list">
      <formula1>'Analysis'!$E$5:$E$10</formula1>
    </dataValidation>
    <dataValidation sqref="E3" showDropDown="0" showInputMessage="0" showErrorMessage="0" allowBlank="0" type="list">
      <formula1>'Analysis'!$F$5:$F$9</formula1>
    </dataValidation>
    <dataValidation sqref="H3" showDropDown="0" showInputMessage="0" showErrorMessage="0" allowBlank="0" type="list">
      <formula1>'Analysis'!$G$5:$G$7</formula1>
    </dataValidation>
  </dataValidations>
  <pageMargins left="0.1" right="0.1" top="0.15" bottom="0.1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Order ID</t>
        </is>
      </c>
      <c r="B1" s="10" t="inlineStr">
        <is>
          <t>Order Date</t>
        </is>
      </c>
      <c r="C1" s="10" t="inlineStr">
        <is>
          <t>Region</t>
        </is>
      </c>
      <c r="D1" s="10" t="inlineStr">
        <is>
          <t>Category</t>
        </is>
      </c>
      <c r="E1" s="10" t="inlineStr">
        <is>
          <t>Product</t>
        </is>
      </c>
      <c r="F1" s="10" t="inlineStr">
        <is>
          <t>Units Sold</t>
        </is>
      </c>
      <c r="G1" s="10" t="inlineStr">
        <is>
          <t>Unit Price</t>
        </is>
      </c>
      <c r="H1" s="10" t="inlineStr">
        <is>
          <t>Discount</t>
        </is>
      </c>
      <c r="I1" s="10" t="inlineStr">
        <is>
          <t>Revenue</t>
        </is>
      </c>
      <c r="J1" s="10" t="inlineStr">
        <is>
          <t>Month</t>
        </is>
      </c>
      <c r="K1" s="10" t="inlineStr">
        <is>
          <t>Year</t>
        </is>
      </c>
    </row>
    <row r="2">
      <c r="A2" t="inlineStr">
        <is>
          <t>ORD-1001</t>
        </is>
      </c>
      <c r="B2" s="11" t="n">
        <v>45658</v>
      </c>
      <c r="C2" t="inlineStr">
        <is>
          <t>West</t>
        </is>
      </c>
      <c r="D2" t="inlineStr">
        <is>
          <t>Furniture</t>
        </is>
      </c>
      <c r="E2" t="inlineStr">
        <is>
          <t>Desk</t>
        </is>
      </c>
      <c r="F2" s="12" t="n">
        <v>13</v>
      </c>
      <c r="G2" s="21" t="n">
        <v>12671.26</v>
      </c>
      <c r="H2" s="13" t="n">
        <v>0.05</v>
      </c>
      <c r="I2" s="21" t="n">
        <v>156490.06</v>
      </c>
      <c r="J2" t="inlineStr">
        <is>
          <t>Jan</t>
        </is>
      </c>
      <c r="K2" t="n">
        <v>2025</v>
      </c>
    </row>
    <row r="3">
      <c r="A3" t="inlineStr">
        <is>
          <t>ORD-1002</t>
        </is>
      </c>
      <c r="B3" s="11" t="n">
        <v>45661</v>
      </c>
      <c r="C3" t="inlineStr">
        <is>
          <t>South</t>
        </is>
      </c>
      <c r="D3" t="inlineStr">
        <is>
          <t>Accessories</t>
        </is>
      </c>
      <c r="E3" t="inlineStr">
        <is>
          <t>Keyboard</t>
        </is>
      </c>
      <c r="F3" s="12" t="n">
        <v>3</v>
      </c>
      <c r="G3" s="21" t="n">
        <v>1785.33</v>
      </c>
      <c r="H3" s="13" t="n">
        <v>0.05</v>
      </c>
      <c r="I3" s="21" t="n">
        <v>5088.19</v>
      </c>
      <c r="J3" t="inlineStr">
        <is>
          <t>Jan</t>
        </is>
      </c>
      <c r="K3" t="n">
        <v>2025</v>
      </c>
    </row>
    <row r="4">
      <c r="A4" t="inlineStr">
        <is>
          <t>ORD-1003</t>
        </is>
      </c>
      <c r="B4" s="11" t="n">
        <v>45665</v>
      </c>
      <c r="C4" t="inlineStr">
        <is>
          <t>West</t>
        </is>
      </c>
      <c r="D4" t="inlineStr">
        <is>
          <t>Accessories</t>
        </is>
      </c>
      <c r="E4" t="inlineStr">
        <is>
          <t>Keyboard</t>
        </is>
      </c>
      <c r="F4" s="12" t="n">
        <v>8</v>
      </c>
      <c r="G4" s="21" t="n">
        <v>1627.41</v>
      </c>
      <c r="H4" s="13" t="n">
        <v>0.05</v>
      </c>
      <c r="I4" s="21" t="n">
        <v>12368.32</v>
      </c>
      <c r="J4" t="inlineStr">
        <is>
          <t>Jan</t>
        </is>
      </c>
      <c r="K4" t="n">
        <v>2025</v>
      </c>
    </row>
    <row r="5">
      <c r="A5" t="inlineStr">
        <is>
          <t>ORD-1004</t>
        </is>
      </c>
      <c r="B5" s="11" t="n">
        <v>45668</v>
      </c>
      <c r="C5" t="inlineStr">
        <is>
          <t>West</t>
        </is>
      </c>
      <c r="D5" t="inlineStr">
        <is>
          <t>Electronics</t>
        </is>
      </c>
      <c r="E5" t="inlineStr">
        <is>
          <t>Smartphone</t>
        </is>
      </c>
      <c r="F5" s="12" t="n">
        <v>14</v>
      </c>
      <c r="G5" s="21" t="n">
        <v>26218.22</v>
      </c>
      <c r="H5" s="13" t="n">
        <v>0.03</v>
      </c>
      <c r="I5" s="21" t="n">
        <v>356043.43</v>
      </c>
      <c r="J5" t="inlineStr">
        <is>
          <t>Jan</t>
        </is>
      </c>
      <c r="K5" t="n">
        <v>2025</v>
      </c>
    </row>
    <row r="6">
      <c r="A6" t="inlineStr">
        <is>
          <t>ORD-1005</t>
        </is>
      </c>
      <c r="B6" s="11" t="n">
        <v>45672</v>
      </c>
      <c r="C6" t="inlineStr">
        <is>
          <t>North</t>
        </is>
      </c>
      <c r="D6" t="inlineStr">
        <is>
          <t>Accessories</t>
        </is>
      </c>
      <c r="E6" t="inlineStr">
        <is>
          <t>Keyboard</t>
        </is>
      </c>
      <c r="F6" s="12" t="n">
        <v>12</v>
      </c>
      <c r="G6" s="21" t="n">
        <v>1808.91</v>
      </c>
      <c r="H6" s="13" t="n">
        <v>0.03</v>
      </c>
      <c r="I6" s="21" t="n">
        <v>21055.71</v>
      </c>
      <c r="J6" t="inlineStr">
        <is>
          <t>Jan</t>
        </is>
      </c>
      <c r="K6" t="n">
        <v>2025</v>
      </c>
    </row>
    <row r="7">
      <c r="A7" t="inlineStr">
        <is>
          <t>ORD-1006</t>
        </is>
      </c>
      <c r="B7" s="11" t="n">
        <v>45675</v>
      </c>
      <c r="C7" t="inlineStr">
        <is>
          <t>North</t>
        </is>
      </c>
      <c r="D7" t="inlineStr">
        <is>
          <t>Electronics</t>
        </is>
      </c>
      <c r="E7" t="inlineStr">
        <is>
          <t>Monitor</t>
        </is>
      </c>
      <c r="F7" s="12" t="n">
        <v>1</v>
      </c>
      <c r="G7" s="21" t="n">
        <v>18402.67</v>
      </c>
      <c r="H7" s="13" t="n">
        <v>0.05</v>
      </c>
      <c r="I7" s="21" t="n">
        <v>17482.54</v>
      </c>
      <c r="J7" t="inlineStr">
        <is>
          <t>Jan</t>
        </is>
      </c>
      <c r="K7" t="n">
        <v>2025</v>
      </c>
    </row>
    <row r="8">
      <c r="A8" t="inlineStr">
        <is>
          <t>ORD-1007</t>
        </is>
      </c>
      <c r="B8" s="11" t="n">
        <v>45679</v>
      </c>
      <c r="C8" t="inlineStr">
        <is>
          <t>West</t>
        </is>
      </c>
      <c r="D8" t="inlineStr">
        <is>
          <t>Electronics</t>
        </is>
      </c>
      <c r="E8" t="inlineStr">
        <is>
          <t>Smartphone</t>
        </is>
      </c>
      <c r="F8" s="12" t="n">
        <v>12</v>
      </c>
      <c r="G8" s="21" t="n">
        <v>27341.79</v>
      </c>
      <c r="H8" s="13" t="n">
        <v>0.05</v>
      </c>
      <c r="I8" s="21" t="n">
        <v>311696.41</v>
      </c>
      <c r="J8" t="inlineStr">
        <is>
          <t>Jan</t>
        </is>
      </c>
      <c r="K8" t="n">
        <v>2025</v>
      </c>
    </row>
    <row r="9">
      <c r="A9" t="inlineStr">
        <is>
          <t>ORD-1008</t>
        </is>
      </c>
      <c r="B9" s="11" t="n">
        <v>45682</v>
      </c>
      <c r="C9" t="inlineStr">
        <is>
          <t>North</t>
        </is>
      </c>
      <c r="D9" t="inlineStr">
        <is>
          <t>Electronics</t>
        </is>
      </c>
      <c r="E9" t="inlineStr">
        <is>
          <t>Monitor</t>
        </is>
      </c>
      <c r="F9" s="12" t="n">
        <v>3</v>
      </c>
      <c r="G9" s="21" t="n">
        <v>18387.16</v>
      </c>
      <c r="H9" s="13" t="n">
        <v>0.1</v>
      </c>
      <c r="I9" s="21" t="n">
        <v>49645.33</v>
      </c>
      <c r="J9" t="inlineStr">
        <is>
          <t>Jan</t>
        </is>
      </c>
      <c r="K9" t="n">
        <v>2025</v>
      </c>
    </row>
    <row r="10">
      <c r="A10" t="inlineStr">
        <is>
          <t>ORD-1009</t>
        </is>
      </c>
      <c r="B10" s="11" t="n">
        <v>45686</v>
      </c>
      <c r="C10" t="inlineStr">
        <is>
          <t>North</t>
        </is>
      </c>
      <c r="D10" t="inlineStr">
        <is>
          <t>Accessories</t>
        </is>
      </c>
      <c r="E10" t="inlineStr">
        <is>
          <t>Keyboard</t>
        </is>
      </c>
      <c r="F10" s="12" t="n">
        <v>7</v>
      </c>
      <c r="G10" s="21" t="n">
        <v>1961.6</v>
      </c>
      <c r="H10" s="13" t="n">
        <v>0.03</v>
      </c>
      <c r="I10" s="21" t="n">
        <v>13319.26</v>
      </c>
      <c r="J10" t="inlineStr">
        <is>
          <t>Jan</t>
        </is>
      </c>
      <c r="K10" t="n">
        <v>2025</v>
      </c>
    </row>
    <row r="11">
      <c r="A11" t="inlineStr">
        <is>
          <t>ORD-1010</t>
        </is>
      </c>
      <c r="B11" s="11" t="n">
        <v>45690</v>
      </c>
      <c r="C11" t="inlineStr">
        <is>
          <t>South</t>
        </is>
      </c>
      <c r="D11" t="inlineStr">
        <is>
          <t>Electronics</t>
        </is>
      </c>
      <c r="E11" t="inlineStr">
        <is>
          <t>Monitor</t>
        </is>
      </c>
      <c r="F11" s="12" t="n">
        <v>10</v>
      </c>
      <c r="G11" s="21" t="n">
        <v>16257.48</v>
      </c>
      <c r="H11" s="13" t="n">
        <v>0</v>
      </c>
      <c r="I11" s="21" t="n">
        <v>162574.8</v>
      </c>
      <c r="J11" t="inlineStr">
        <is>
          <t>Feb</t>
        </is>
      </c>
      <c r="K11" t="n">
        <v>2025</v>
      </c>
    </row>
    <row r="12">
      <c r="A12" t="inlineStr">
        <is>
          <t>ORD-1011</t>
        </is>
      </c>
      <c r="B12" s="11" t="n">
        <v>45693</v>
      </c>
      <c r="C12" t="inlineStr">
        <is>
          <t>West</t>
        </is>
      </c>
      <c r="D12" t="inlineStr">
        <is>
          <t>Electronics</t>
        </is>
      </c>
      <c r="E12" t="inlineStr">
        <is>
          <t>Smartphone</t>
        </is>
      </c>
      <c r="F12" s="12" t="n">
        <v>12</v>
      </c>
      <c r="G12" s="21" t="n">
        <v>25883.41</v>
      </c>
      <c r="H12" s="13" t="n">
        <v>0.08</v>
      </c>
      <c r="I12" s="21" t="n">
        <v>285752.85</v>
      </c>
      <c r="J12" t="inlineStr">
        <is>
          <t>Feb</t>
        </is>
      </c>
      <c r="K12" t="n">
        <v>2025</v>
      </c>
    </row>
    <row r="13">
      <c r="A13" t="inlineStr">
        <is>
          <t>ORD-1012</t>
        </is>
      </c>
      <c r="B13" s="11" t="n">
        <v>45697</v>
      </c>
      <c r="C13" t="inlineStr">
        <is>
          <t>East</t>
        </is>
      </c>
      <c r="D13" t="inlineStr">
        <is>
          <t>Accessories</t>
        </is>
      </c>
      <c r="E13" t="inlineStr">
        <is>
          <t>Keyboard</t>
        </is>
      </c>
      <c r="F13" s="12" t="n">
        <v>14</v>
      </c>
      <c r="G13" s="21" t="n">
        <v>1713.16</v>
      </c>
      <c r="H13" s="13" t="n">
        <v>0</v>
      </c>
      <c r="I13" s="21" t="n">
        <v>23984.24</v>
      </c>
      <c r="J13" t="inlineStr">
        <is>
          <t>Feb</t>
        </is>
      </c>
      <c r="K13" t="n">
        <v>2025</v>
      </c>
    </row>
    <row r="14">
      <c r="A14" t="inlineStr">
        <is>
          <t>ORD-1013</t>
        </is>
      </c>
      <c r="B14" s="11" t="n">
        <v>45700</v>
      </c>
      <c r="C14" t="inlineStr">
        <is>
          <t>West</t>
        </is>
      </c>
      <c r="D14" t="inlineStr">
        <is>
          <t>Office Equipment</t>
        </is>
      </c>
      <c r="E14" t="inlineStr">
        <is>
          <t>Printer</t>
        </is>
      </c>
      <c r="F14" s="12" t="n">
        <v>2</v>
      </c>
      <c r="G14" s="21" t="n">
        <v>15203.1</v>
      </c>
      <c r="H14" s="13" t="n">
        <v>0.03</v>
      </c>
      <c r="I14" s="21" t="n">
        <v>29494.01</v>
      </c>
      <c r="J14" t="inlineStr">
        <is>
          <t>Feb</t>
        </is>
      </c>
      <c r="K14" t="n">
        <v>2025</v>
      </c>
    </row>
    <row r="15">
      <c r="A15" t="inlineStr">
        <is>
          <t>ORD-1014</t>
        </is>
      </c>
      <c r="B15" s="11" t="n">
        <v>45704</v>
      </c>
      <c r="C15" t="inlineStr">
        <is>
          <t>South</t>
        </is>
      </c>
      <c r="D15" t="inlineStr">
        <is>
          <t>Accessories</t>
        </is>
      </c>
      <c r="E15" t="inlineStr">
        <is>
          <t>Keyboard</t>
        </is>
      </c>
      <c r="F15" s="12" t="n">
        <v>10</v>
      </c>
      <c r="G15" s="21" t="n">
        <v>1958.22</v>
      </c>
      <c r="H15" s="13" t="n">
        <v>0.08</v>
      </c>
      <c r="I15" s="21" t="n">
        <v>18015.62</v>
      </c>
      <c r="J15" t="inlineStr">
        <is>
          <t>Feb</t>
        </is>
      </c>
      <c r="K15" t="n">
        <v>2025</v>
      </c>
    </row>
    <row r="16">
      <c r="A16" t="inlineStr">
        <is>
          <t>ORD-1015</t>
        </is>
      </c>
      <c r="B16" s="11" t="n">
        <v>45707</v>
      </c>
      <c r="C16" t="inlineStr">
        <is>
          <t>West</t>
        </is>
      </c>
      <c r="D16" t="inlineStr">
        <is>
          <t>Furniture</t>
        </is>
      </c>
      <c r="E16" t="inlineStr">
        <is>
          <t>Office Chair</t>
        </is>
      </c>
      <c r="F16" s="12" t="n">
        <v>14</v>
      </c>
      <c r="G16" s="21" t="n">
        <v>8635.93</v>
      </c>
      <c r="H16" s="13" t="n">
        <v>0.08</v>
      </c>
      <c r="I16" s="21" t="n">
        <v>111230.78</v>
      </c>
      <c r="J16" t="inlineStr">
        <is>
          <t>Feb</t>
        </is>
      </c>
      <c r="K16" t="n">
        <v>2025</v>
      </c>
    </row>
    <row r="17">
      <c r="A17" t="inlineStr">
        <is>
          <t>ORD-1016</t>
        </is>
      </c>
      <c r="B17" s="11" t="n">
        <v>45711</v>
      </c>
      <c r="C17" t="inlineStr">
        <is>
          <t>Central</t>
        </is>
      </c>
      <c r="D17" t="inlineStr">
        <is>
          <t>Office Equipment</t>
        </is>
      </c>
      <c r="E17" t="inlineStr">
        <is>
          <t>Printer</t>
        </is>
      </c>
      <c r="F17" s="12" t="n">
        <v>13</v>
      </c>
      <c r="G17" s="21" t="n">
        <v>15119.08</v>
      </c>
      <c r="H17" s="13" t="n">
        <v>0.03</v>
      </c>
      <c r="I17" s="21" t="n">
        <v>190651.6</v>
      </c>
      <c r="J17" t="inlineStr">
        <is>
          <t>Feb</t>
        </is>
      </c>
      <c r="K17" t="n">
        <v>2025</v>
      </c>
    </row>
    <row r="18">
      <c r="A18" t="inlineStr">
        <is>
          <t>ORD-1017</t>
        </is>
      </c>
      <c r="B18" s="11" t="n">
        <v>45714</v>
      </c>
      <c r="C18" t="inlineStr">
        <is>
          <t>South</t>
        </is>
      </c>
      <c r="D18" t="inlineStr">
        <is>
          <t>Office Equipment</t>
        </is>
      </c>
      <c r="E18" t="inlineStr">
        <is>
          <t>Printer</t>
        </is>
      </c>
      <c r="F18" s="12" t="n">
        <v>9</v>
      </c>
      <c r="G18" s="21" t="n">
        <v>15321.1</v>
      </c>
      <c r="H18" s="13" t="n">
        <v>0.08</v>
      </c>
      <c r="I18" s="21" t="n">
        <v>126858.71</v>
      </c>
      <c r="J18" t="inlineStr">
        <is>
          <t>Feb</t>
        </is>
      </c>
      <c r="K18" t="n">
        <v>2025</v>
      </c>
    </row>
    <row r="19">
      <c r="A19" t="inlineStr">
        <is>
          <t>ORD-1018</t>
        </is>
      </c>
      <c r="B19" s="11" t="n">
        <v>45718</v>
      </c>
      <c r="C19" t="inlineStr">
        <is>
          <t>North</t>
        </is>
      </c>
      <c r="D19" t="inlineStr">
        <is>
          <t>Accessories</t>
        </is>
      </c>
      <c r="E19" t="inlineStr">
        <is>
          <t>Keyboard</t>
        </is>
      </c>
      <c r="F19" s="12" t="n">
        <v>13</v>
      </c>
      <c r="G19" s="21" t="n">
        <v>1646.84</v>
      </c>
      <c r="H19" s="13" t="n">
        <v>0.1</v>
      </c>
      <c r="I19" s="21" t="n">
        <v>19268.03</v>
      </c>
      <c r="J19" t="inlineStr">
        <is>
          <t>Mar</t>
        </is>
      </c>
      <c r="K19" t="n">
        <v>2025</v>
      </c>
    </row>
    <row r="20">
      <c r="A20" t="inlineStr">
        <is>
          <t>ORD-1019</t>
        </is>
      </c>
      <c r="B20" s="11" t="n">
        <v>45722</v>
      </c>
      <c r="C20" t="inlineStr">
        <is>
          <t>North</t>
        </is>
      </c>
      <c r="D20" t="inlineStr">
        <is>
          <t>Furniture</t>
        </is>
      </c>
      <c r="E20" t="inlineStr">
        <is>
          <t>Desk</t>
        </is>
      </c>
      <c r="F20" s="12" t="n">
        <v>8</v>
      </c>
      <c r="G20" s="21" t="n">
        <v>11276.92</v>
      </c>
      <c r="H20" s="13" t="n">
        <v>0</v>
      </c>
      <c r="I20" s="21" t="n">
        <v>90215.36</v>
      </c>
      <c r="J20" t="inlineStr">
        <is>
          <t>Mar</t>
        </is>
      </c>
      <c r="K20" t="n">
        <v>2025</v>
      </c>
    </row>
    <row r="21">
      <c r="A21" t="inlineStr">
        <is>
          <t>ORD-1020</t>
        </is>
      </c>
      <c r="B21" s="11" t="n">
        <v>45725</v>
      </c>
      <c r="C21" t="inlineStr">
        <is>
          <t>East</t>
        </is>
      </c>
      <c r="D21" t="inlineStr">
        <is>
          <t>Office Equipment</t>
        </is>
      </c>
      <c r="E21" t="inlineStr">
        <is>
          <t>Printer</t>
        </is>
      </c>
      <c r="F21" s="12" t="n">
        <v>3</v>
      </c>
      <c r="G21" s="21" t="n">
        <v>15634.03</v>
      </c>
      <c r="H21" s="13" t="n">
        <v>0</v>
      </c>
      <c r="I21" s="21" t="n">
        <v>46902.09</v>
      </c>
      <c r="J21" t="inlineStr">
        <is>
          <t>Mar</t>
        </is>
      </c>
      <c r="K21" t="n">
        <v>2025</v>
      </c>
    </row>
    <row r="22">
      <c r="A22" t="inlineStr">
        <is>
          <t>ORD-1021</t>
        </is>
      </c>
      <c r="B22" s="11" t="n">
        <v>45729</v>
      </c>
      <c r="C22" t="inlineStr">
        <is>
          <t>North</t>
        </is>
      </c>
      <c r="D22" t="inlineStr">
        <is>
          <t>Accessories</t>
        </is>
      </c>
      <c r="E22" t="inlineStr">
        <is>
          <t>Headphones</t>
        </is>
      </c>
      <c r="F22" s="12" t="n">
        <v>11</v>
      </c>
      <c r="G22" s="21" t="n">
        <v>3798.41</v>
      </c>
      <c r="H22" s="13" t="n">
        <v>0.1</v>
      </c>
      <c r="I22" s="21" t="n">
        <v>37604.26</v>
      </c>
      <c r="J22" t="inlineStr">
        <is>
          <t>Mar</t>
        </is>
      </c>
      <c r="K22" t="n">
        <v>2025</v>
      </c>
    </row>
    <row r="23">
      <c r="A23" t="inlineStr">
        <is>
          <t>ORD-1022</t>
        </is>
      </c>
      <c r="B23" s="11" t="n">
        <v>45732</v>
      </c>
      <c r="C23" t="inlineStr">
        <is>
          <t>North</t>
        </is>
      </c>
      <c r="D23" t="inlineStr">
        <is>
          <t>Electronics</t>
        </is>
      </c>
      <c r="E23" t="inlineStr">
        <is>
          <t>Smartphone</t>
        </is>
      </c>
      <c r="F23" s="12" t="n">
        <v>12</v>
      </c>
      <c r="G23" s="21" t="n">
        <v>28690.47</v>
      </c>
      <c r="H23" s="13" t="n">
        <v>0</v>
      </c>
      <c r="I23" s="21" t="n">
        <v>344285.64</v>
      </c>
      <c r="J23" t="inlineStr">
        <is>
          <t>Mar</t>
        </is>
      </c>
      <c r="K23" t="n">
        <v>2025</v>
      </c>
    </row>
    <row r="24">
      <c r="A24" t="inlineStr">
        <is>
          <t>ORD-1023</t>
        </is>
      </c>
      <c r="B24" s="11" t="n">
        <v>45736</v>
      </c>
      <c r="C24" t="inlineStr">
        <is>
          <t>North</t>
        </is>
      </c>
      <c r="D24" t="inlineStr">
        <is>
          <t>Electronics</t>
        </is>
      </c>
      <c r="E24" t="inlineStr">
        <is>
          <t>Smartphone</t>
        </is>
      </c>
      <c r="F24" s="12" t="n">
        <v>7</v>
      </c>
      <c r="G24" s="21" t="n">
        <v>29285.79</v>
      </c>
      <c r="H24" s="13" t="n">
        <v>0.1</v>
      </c>
      <c r="I24" s="21" t="n">
        <v>184500.48</v>
      </c>
      <c r="J24" t="inlineStr">
        <is>
          <t>Mar</t>
        </is>
      </c>
      <c r="K24" t="n">
        <v>2025</v>
      </c>
    </row>
    <row r="25">
      <c r="A25" t="inlineStr">
        <is>
          <t>ORD-1024</t>
        </is>
      </c>
      <c r="B25" s="11" t="n">
        <v>45739</v>
      </c>
      <c r="C25" t="inlineStr">
        <is>
          <t>East</t>
        </is>
      </c>
      <c r="D25" t="inlineStr">
        <is>
          <t>Office Equipment</t>
        </is>
      </c>
      <c r="E25" t="inlineStr">
        <is>
          <t>Printer</t>
        </is>
      </c>
      <c r="F25" s="12" t="n">
        <v>3</v>
      </c>
      <c r="G25" s="21" t="n">
        <v>14648.78</v>
      </c>
      <c r="H25" s="13" t="n">
        <v>0</v>
      </c>
      <c r="I25" s="21" t="n">
        <v>43946.34</v>
      </c>
      <c r="J25" t="inlineStr">
        <is>
          <t>Mar</t>
        </is>
      </c>
      <c r="K25" t="n">
        <v>2025</v>
      </c>
    </row>
    <row r="26">
      <c r="A26" t="inlineStr">
        <is>
          <t>ORD-1025</t>
        </is>
      </c>
      <c r="B26" s="11" t="n">
        <v>45743</v>
      </c>
      <c r="C26" t="inlineStr">
        <is>
          <t>East</t>
        </is>
      </c>
      <c r="D26" t="inlineStr">
        <is>
          <t>Furniture</t>
        </is>
      </c>
      <c r="E26" t="inlineStr">
        <is>
          <t>Desk</t>
        </is>
      </c>
      <c r="F26" s="12" t="n">
        <v>1</v>
      </c>
      <c r="G26" s="21" t="n">
        <v>12147.07</v>
      </c>
      <c r="H26" s="13" t="n">
        <v>0.1</v>
      </c>
      <c r="I26" s="21" t="n">
        <v>10932.36</v>
      </c>
      <c r="J26" t="inlineStr">
        <is>
          <t>Mar</t>
        </is>
      </c>
      <c r="K26" t="n">
        <v>2025</v>
      </c>
    </row>
    <row r="27">
      <c r="A27" t="inlineStr">
        <is>
          <t>ORD-1026</t>
        </is>
      </c>
      <c r="B27" s="11" t="n">
        <v>45746</v>
      </c>
      <c r="C27" t="inlineStr">
        <is>
          <t>East</t>
        </is>
      </c>
      <c r="D27" t="inlineStr">
        <is>
          <t>Furniture</t>
        </is>
      </c>
      <c r="E27" t="inlineStr">
        <is>
          <t>Desk</t>
        </is>
      </c>
      <c r="F27" s="12" t="n">
        <v>9</v>
      </c>
      <c r="G27" s="21" t="n">
        <v>10861.01</v>
      </c>
      <c r="H27" s="13" t="n">
        <v>0.03</v>
      </c>
      <c r="I27" s="21" t="n">
        <v>94816.62</v>
      </c>
      <c r="J27" t="inlineStr">
        <is>
          <t>Mar</t>
        </is>
      </c>
      <c r="K27" t="n">
        <v>2025</v>
      </c>
    </row>
    <row r="28">
      <c r="A28" t="inlineStr">
        <is>
          <t>ORD-1027</t>
        </is>
      </c>
      <c r="B28" s="11" t="n">
        <v>45750</v>
      </c>
      <c r="C28" t="inlineStr">
        <is>
          <t>East</t>
        </is>
      </c>
      <c r="D28" t="inlineStr">
        <is>
          <t>Accessories</t>
        </is>
      </c>
      <c r="E28" t="inlineStr">
        <is>
          <t>Keyboard</t>
        </is>
      </c>
      <c r="F28" s="12" t="n">
        <v>15</v>
      </c>
      <c r="G28" s="21" t="n">
        <v>1733.17</v>
      </c>
      <c r="H28" s="13" t="n">
        <v>0</v>
      </c>
      <c r="I28" s="21" t="n">
        <v>25997.55</v>
      </c>
      <c r="J28" t="inlineStr">
        <is>
          <t>Apr</t>
        </is>
      </c>
      <c r="K28" t="n">
        <v>2025</v>
      </c>
    </row>
    <row r="29">
      <c r="A29" t="inlineStr">
        <is>
          <t>ORD-1028</t>
        </is>
      </c>
      <c r="B29" s="11" t="n">
        <v>45754</v>
      </c>
      <c r="C29" t="inlineStr">
        <is>
          <t>West</t>
        </is>
      </c>
      <c r="D29" t="inlineStr">
        <is>
          <t>Office Equipment</t>
        </is>
      </c>
      <c r="E29" t="inlineStr">
        <is>
          <t>Printer</t>
        </is>
      </c>
      <c r="F29" s="12" t="n">
        <v>14</v>
      </c>
      <c r="G29" s="21" t="n">
        <v>14247.88</v>
      </c>
      <c r="H29" s="13" t="n">
        <v>0.1</v>
      </c>
      <c r="I29" s="21" t="n">
        <v>179523.29</v>
      </c>
      <c r="J29" t="inlineStr">
        <is>
          <t>Apr</t>
        </is>
      </c>
      <c r="K29" t="n">
        <v>2025</v>
      </c>
    </row>
    <row r="30">
      <c r="A30" t="inlineStr">
        <is>
          <t>ORD-1029</t>
        </is>
      </c>
      <c r="B30" s="11" t="n">
        <v>45757</v>
      </c>
      <c r="C30" t="inlineStr">
        <is>
          <t>East</t>
        </is>
      </c>
      <c r="D30" t="inlineStr">
        <is>
          <t>Accessories</t>
        </is>
      </c>
      <c r="E30" t="inlineStr">
        <is>
          <t>Keyboard</t>
        </is>
      </c>
      <c r="F30" s="12" t="n">
        <v>13</v>
      </c>
      <c r="G30" s="21" t="n">
        <v>1959.43</v>
      </c>
      <c r="H30" s="13" t="n">
        <v>0.08</v>
      </c>
      <c r="I30" s="21" t="n">
        <v>23434.78</v>
      </c>
      <c r="J30" t="inlineStr">
        <is>
          <t>Apr</t>
        </is>
      </c>
      <c r="K30" t="n">
        <v>2025</v>
      </c>
    </row>
    <row r="31">
      <c r="A31" t="inlineStr">
        <is>
          <t>ORD-1030</t>
        </is>
      </c>
      <c r="B31" s="11" t="n">
        <v>45761</v>
      </c>
      <c r="C31" t="inlineStr">
        <is>
          <t>East</t>
        </is>
      </c>
      <c r="D31" t="inlineStr">
        <is>
          <t>Furniture</t>
        </is>
      </c>
      <c r="E31" t="inlineStr">
        <is>
          <t>Desk</t>
        </is>
      </c>
      <c r="F31" s="12" t="n">
        <v>3</v>
      </c>
      <c r="G31" s="21" t="n">
        <v>13031.27</v>
      </c>
      <c r="H31" s="13" t="n">
        <v>0.08</v>
      </c>
      <c r="I31" s="21" t="n">
        <v>35966.31</v>
      </c>
      <c r="J31" t="inlineStr">
        <is>
          <t>Apr</t>
        </is>
      </c>
      <c r="K31" t="n">
        <v>2025</v>
      </c>
    </row>
    <row r="32">
      <c r="A32" t="inlineStr">
        <is>
          <t>ORD-1031</t>
        </is>
      </c>
      <c r="B32" s="11" t="n">
        <v>45764</v>
      </c>
      <c r="C32" t="inlineStr">
        <is>
          <t>North</t>
        </is>
      </c>
      <c r="D32" t="inlineStr">
        <is>
          <t>Accessories</t>
        </is>
      </c>
      <c r="E32" t="inlineStr">
        <is>
          <t>Keyboard</t>
        </is>
      </c>
      <c r="F32" s="12" t="n">
        <v>5</v>
      </c>
      <c r="G32" s="21" t="n">
        <v>1909.32</v>
      </c>
      <c r="H32" s="13" t="n">
        <v>0.08</v>
      </c>
      <c r="I32" s="21" t="n">
        <v>8782.870000000001</v>
      </c>
      <c r="J32" t="inlineStr">
        <is>
          <t>Apr</t>
        </is>
      </c>
      <c r="K32" t="n">
        <v>2025</v>
      </c>
    </row>
    <row r="33">
      <c r="A33" t="inlineStr">
        <is>
          <t>ORD-1032</t>
        </is>
      </c>
      <c r="B33" s="11" t="n">
        <v>45768</v>
      </c>
      <c r="C33" t="inlineStr">
        <is>
          <t>West</t>
        </is>
      </c>
      <c r="D33" t="inlineStr">
        <is>
          <t>Electronics</t>
        </is>
      </c>
      <c r="E33" t="inlineStr">
        <is>
          <t>Monitor</t>
        </is>
      </c>
      <c r="F33" s="12" t="n">
        <v>14</v>
      </c>
      <c r="G33" s="21" t="n">
        <v>17367.64</v>
      </c>
      <c r="H33" s="13" t="n">
        <v>0.05</v>
      </c>
      <c r="I33" s="21" t="n">
        <v>230989.61</v>
      </c>
      <c r="J33" t="inlineStr">
        <is>
          <t>Apr</t>
        </is>
      </c>
      <c r="K33" t="n">
        <v>2025</v>
      </c>
    </row>
    <row r="34">
      <c r="A34" t="inlineStr">
        <is>
          <t>ORD-1033</t>
        </is>
      </c>
      <c r="B34" s="11" t="n">
        <v>45771</v>
      </c>
      <c r="C34" t="inlineStr">
        <is>
          <t>West</t>
        </is>
      </c>
      <c r="D34" t="inlineStr">
        <is>
          <t>Furniture</t>
        </is>
      </c>
      <c r="E34" t="inlineStr">
        <is>
          <t>Desk</t>
        </is>
      </c>
      <c r="F34" s="12" t="n">
        <v>9</v>
      </c>
      <c r="G34" s="21" t="n">
        <v>11453.12</v>
      </c>
      <c r="H34" s="13" t="n">
        <v>0</v>
      </c>
      <c r="I34" s="21" t="n">
        <v>103078.08</v>
      </c>
      <c r="J34" t="inlineStr">
        <is>
          <t>Apr</t>
        </is>
      </c>
      <c r="K34" t="n">
        <v>2025</v>
      </c>
    </row>
    <row r="35">
      <c r="A35" t="inlineStr">
        <is>
          <t>ORD-1034</t>
        </is>
      </c>
      <c r="B35" s="11" t="n">
        <v>45775</v>
      </c>
      <c r="C35" t="inlineStr">
        <is>
          <t>North</t>
        </is>
      </c>
      <c r="D35" t="inlineStr">
        <is>
          <t>Accessories</t>
        </is>
      </c>
      <c r="E35" t="inlineStr">
        <is>
          <t>Headphones</t>
        </is>
      </c>
      <c r="F35" s="12" t="n">
        <v>4</v>
      </c>
      <c r="G35" s="21" t="n">
        <v>3752.51</v>
      </c>
      <c r="H35" s="13" t="n">
        <v>0.1</v>
      </c>
      <c r="I35" s="21" t="n">
        <v>13509.04</v>
      </c>
      <c r="J35" t="inlineStr">
        <is>
          <t>Apr</t>
        </is>
      </c>
      <c r="K35" t="n">
        <v>2025</v>
      </c>
    </row>
    <row r="36">
      <c r="A36" t="inlineStr">
        <is>
          <t>ORD-1035</t>
        </is>
      </c>
      <c r="B36" s="11" t="n">
        <v>45778</v>
      </c>
      <c r="C36" t="inlineStr">
        <is>
          <t>East</t>
        </is>
      </c>
      <c r="D36" t="inlineStr">
        <is>
          <t>Furniture</t>
        </is>
      </c>
      <c r="E36" t="inlineStr">
        <is>
          <t>Desk</t>
        </is>
      </c>
      <c r="F36" s="12" t="n">
        <v>9</v>
      </c>
      <c r="G36" s="21" t="n">
        <v>12461.85</v>
      </c>
      <c r="H36" s="13" t="n">
        <v>0.1</v>
      </c>
      <c r="I36" s="21" t="n">
        <v>100940.99</v>
      </c>
      <c r="J36" t="inlineStr">
        <is>
          <t>May</t>
        </is>
      </c>
      <c r="K36" t="n">
        <v>2025</v>
      </c>
    </row>
    <row r="37">
      <c r="A37" t="inlineStr">
        <is>
          <t>ORD-1036</t>
        </is>
      </c>
      <c r="B37" s="11" t="n">
        <v>45782</v>
      </c>
      <c r="C37" t="inlineStr">
        <is>
          <t>West</t>
        </is>
      </c>
      <c r="D37" t="inlineStr">
        <is>
          <t>Electronics</t>
        </is>
      </c>
      <c r="E37" t="inlineStr">
        <is>
          <t>Smartphone</t>
        </is>
      </c>
      <c r="F37" s="12" t="n">
        <v>8</v>
      </c>
      <c r="G37" s="21" t="n">
        <v>27009.94</v>
      </c>
      <c r="H37" s="13" t="n">
        <v>0.05</v>
      </c>
      <c r="I37" s="21" t="n">
        <v>205275.54</v>
      </c>
      <c r="J37" t="inlineStr">
        <is>
          <t>May</t>
        </is>
      </c>
      <c r="K37" t="n">
        <v>2025</v>
      </c>
    </row>
    <row r="38">
      <c r="A38" t="inlineStr">
        <is>
          <t>ORD-1037</t>
        </is>
      </c>
      <c r="B38" s="11" t="n">
        <v>45786</v>
      </c>
      <c r="C38" t="inlineStr">
        <is>
          <t>North</t>
        </is>
      </c>
      <c r="D38" t="inlineStr">
        <is>
          <t>Office Equipment</t>
        </is>
      </c>
      <c r="E38" t="inlineStr">
        <is>
          <t>Printer</t>
        </is>
      </c>
      <c r="F38" s="12" t="n">
        <v>4</v>
      </c>
      <c r="G38" s="21" t="n">
        <v>13694.68</v>
      </c>
      <c r="H38" s="13" t="n">
        <v>0</v>
      </c>
      <c r="I38" s="21" t="n">
        <v>54778.72</v>
      </c>
      <c r="J38" t="inlineStr">
        <is>
          <t>May</t>
        </is>
      </c>
      <c r="K38" t="n">
        <v>2025</v>
      </c>
    </row>
    <row r="39">
      <c r="A39" t="inlineStr">
        <is>
          <t>ORD-1038</t>
        </is>
      </c>
      <c r="B39" s="11" t="n">
        <v>45789</v>
      </c>
      <c r="C39" t="inlineStr">
        <is>
          <t>West</t>
        </is>
      </c>
      <c r="D39" t="inlineStr">
        <is>
          <t>Electronics</t>
        </is>
      </c>
      <c r="E39" t="inlineStr">
        <is>
          <t>Smartphone</t>
        </is>
      </c>
      <c r="F39" s="12" t="n">
        <v>12</v>
      </c>
      <c r="G39" s="21" t="n">
        <v>29188.72</v>
      </c>
      <c r="H39" s="13" t="n">
        <v>0.03</v>
      </c>
      <c r="I39" s="21" t="n">
        <v>339756.7</v>
      </c>
      <c r="J39" t="inlineStr">
        <is>
          <t>May</t>
        </is>
      </c>
      <c r="K39" t="n">
        <v>2025</v>
      </c>
    </row>
    <row r="40">
      <c r="A40" t="inlineStr">
        <is>
          <t>ORD-1039</t>
        </is>
      </c>
      <c r="B40" s="11" t="n">
        <v>45793</v>
      </c>
      <c r="C40" t="inlineStr">
        <is>
          <t>North</t>
        </is>
      </c>
      <c r="D40" t="inlineStr">
        <is>
          <t>Accessories</t>
        </is>
      </c>
      <c r="E40" t="inlineStr">
        <is>
          <t>Keyboard</t>
        </is>
      </c>
      <c r="F40" s="12" t="n">
        <v>8</v>
      </c>
      <c r="G40" s="21" t="n">
        <v>1716.04</v>
      </c>
      <c r="H40" s="13" t="n">
        <v>0</v>
      </c>
      <c r="I40" s="21" t="n">
        <v>13728.32</v>
      </c>
      <c r="J40" t="inlineStr">
        <is>
          <t>May</t>
        </is>
      </c>
      <c r="K40" t="n">
        <v>2025</v>
      </c>
    </row>
    <row r="41">
      <c r="A41" t="inlineStr">
        <is>
          <t>ORD-1040</t>
        </is>
      </c>
      <c r="B41" s="11" t="n">
        <v>45796</v>
      </c>
      <c r="C41" t="inlineStr">
        <is>
          <t>South</t>
        </is>
      </c>
      <c r="D41" t="inlineStr">
        <is>
          <t>Electronics</t>
        </is>
      </c>
      <c r="E41" t="inlineStr">
        <is>
          <t>Smartphone</t>
        </is>
      </c>
      <c r="F41" s="12" t="n">
        <v>12</v>
      </c>
      <c r="G41" s="21" t="n">
        <v>27132.4</v>
      </c>
      <c r="H41" s="13" t="n">
        <v>0.1</v>
      </c>
      <c r="I41" s="21" t="n">
        <v>293029.92</v>
      </c>
      <c r="J41" t="inlineStr">
        <is>
          <t>May</t>
        </is>
      </c>
      <c r="K41" t="n">
        <v>2025</v>
      </c>
    </row>
    <row r="42">
      <c r="A42" t="inlineStr">
        <is>
          <t>ORD-1041</t>
        </is>
      </c>
      <c r="B42" s="11" t="n">
        <v>45800</v>
      </c>
      <c r="C42" t="inlineStr">
        <is>
          <t>East</t>
        </is>
      </c>
      <c r="D42" t="inlineStr">
        <is>
          <t>Electronics</t>
        </is>
      </c>
      <c r="E42" t="inlineStr">
        <is>
          <t>Laptop</t>
        </is>
      </c>
      <c r="F42" s="12" t="n">
        <v>14</v>
      </c>
      <c r="G42" s="21" t="n">
        <v>65402.15</v>
      </c>
      <c r="H42" s="13" t="n">
        <v>0.03</v>
      </c>
      <c r="I42" s="21" t="n">
        <v>888161.2</v>
      </c>
      <c r="J42" t="inlineStr">
        <is>
          <t>May</t>
        </is>
      </c>
      <c r="K42" t="n">
        <v>2025</v>
      </c>
    </row>
    <row r="43">
      <c r="A43" t="inlineStr">
        <is>
          <t>ORD-1042</t>
        </is>
      </c>
      <c r="B43" s="11" t="n">
        <v>45803</v>
      </c>
      <c r="C43" t="inlineStr">
        <is>
          <t>West</t>
        </is>
      </c>
      <c r="D43" t="inlineStr">
        <is>
          <t>Electronics</t>
        </is>
      </c>
      <c r="E43" t="inlineStr">
        <is>
          <t>Smartphone</t>
        </is>
      </c>
      <c r="F43" s="12" t="n">
        <v>7</v>
      </c>
      <c r="G43" s="21" t="n">
        <v>27270.06</v>
      </c>
      <c r="H43" s="13" t="n">
        <v>0.05</v>
      </c>
      <c r="I43" s="21" t="n">
        <v>181345.9</v>
      </c>
      <c r="J43" t="inlineStr">
        <is>
          <t>May</t>
        </is>
      </c>
      <c r="K43" t="n">
        <v>2025</v>
      </c>
    </row>
    <row r="44">
      <c r="A44" t="inlineStr">
        <is>
          <t>ORD-1043</t>
        </is>
      </c>
      <c r="B44" s="11" t="n">
        <v>45807</v>
      </c>
      <c r="C44" t="inlineStr">
        <is>
          <t>Central</t>
        </is>
      </c>
      <c r="D44" t="inlineStr">
        <is>
          <t>Electronics</t>
        </is>
      </c>
      <c r="E44" t="inlineStr">
        <is>
          <t>Laptop</t>
        </is>
      </c>
      <c r="F44" s="12" t="n">
        <v>4</v>
      </c>
      <c r="G44" s="21" t="n">
        <v>66735.89</v>
      </c>
      <c r="H44" s="13" t="n">
        <v>0.03</v>
      </c>
      <c r="I44" s="21" t="n">
        <v>258935.25</v>
      </c>
      <c r="J44" t="inlineStr">
        <is>
          <t>May</t>
        </is>
      </c>
      <c r="K44" t="n">
        <v>2025</v>
      </c>
    </row>
    <row r="45">
      <c r="A45" t="inlineStr">
        <is>
          <t>ORD-1044</t>
        </is>
      </c>
      <c r="B45" s="11" t="n">
        <v>45811</v>
      </c>
      <c r="C45" t="inlineStr">
        <is>
          <t>North</t>
        </is>
      </c>
      <c r="D45" t="inlineStr">
        <is>
          <t>Accessories</t>
        </is>
      </c>
      <c r="E45" t="inlineStr">
        <is>
          <t>Headphones</t>
        </is>
      </c>
      <c r="F45" s="12" t="n">
        <v>9</v>
      </c>
      <c r="G45" s="21" t="n">
        <v>3505.74</v>
      </c>
      <c r="H45" s="13" t="n">
        <v>0.08</v>
      </c>
      <c r="I45" s="21" t="n">
        <v>29027.53</v>
      </c>
      <c r="J45" t="inlineStr">
        <is>
          <t>Jun</t>
        </is>
      </c>
      <c r="K45" t="n">
        <v>2025</v>
      </c>
    </row>
    <row r="46">
      <c r="A46" t="inlineStr">
        <is>
          <t>ORD-1045</t>
        </is>
      </c>
      <c r="B46" s="11" t="n">
        <v>45814</v>
      </c>
      <c r="C46" t="inlineStr">
        <is>
          <t>Central</t>
        </is>
      </c>
      <c r="D46" t="inlineStr">
        <is>
          <t>Office Equipment</t>
        </is>
      </c>
      <c r="E46" t="inlineStr">
        <is>
          <t>Printer</t>
        </is>
      </c>
      <c r="F46" s="12" t="n">
        <v>3</v>
      </c>
      <c r="G46" s="21" t="n">
        <v>14477.88</v>
      </c>
      <c r="H46" s="13" t="n">
        <v>0.08</v>
      </c>
      <c r="I46" s="21" t="n">
        <v>39958.95</v>
      </c>
      <c r="J46" t="inlineStr">
        <is>
          <t>Jun</t>
        </is>
      </c>
      <c r="K46" t="n">
        <v>2025</v>
      </c>
    </row>
    <row r="47">
      <c r="A47" t="inlineStr">
        <is>
          <t>ORD-1046</t>
        </is>
      </c>
      <c r="B47" s="11" t="n">
        <v>45818</v>
      </c>
      <c r="C47" t="inlineStr">
        <is>
          <t>East</t>
        </is>
      </c>
      <c r="D47" t="inlineStr">
        <is>
          <t>Electronics</t>
        </is>
      </c>
      <c r="E47" t="inlineStr">
        <is>
          <t>Monitor</t>
        </is>
      </c>
      <c r="F47" s="12" t="n">
        <v>10</v>
      </c>
      <c r="G47" s="21" t="n">
        <v>19114.2</v>
      </c>
      <c r="H47" s="13" t="n">
        <v>0.05</v>
      </c>
      <c r="I47" s="21" t="n">
        <v>181584.9</v>
      </c>
      <c r="J47" t="inlineStr">
        <is>
          <t>Jun</t>
        </is>
      </c>
      <c r="K47" t="n">
        <v>2025</v>
      </c>
    </row>
    <row r="48">
      <c r="A48" t="inlineStr">
        <is>
          <t>ORD-1047</t>
        </is>
      </c>
      <c r="B48" s="11" t="n">
        <v>45821</v>
      </c>
      <c r="C48" t="inlineStr">
        <is>
          <t>West</t>
        </is>
      </c>
      <c r="D48" t="inlineStr">
        <is>
          <t>Electronics</t>
        </is>
      </c>
      <c r="E48" t="inlineStr">
        <is>
          <t>Monitor</t>
        </is>
      </c>
      <c r="F48" s="12" t="n">
        <v>9</v>
      </c>
      <c r="G48" s="21" t="n">
        <v>17631.26</v>
      </c>
      <c r="H48" s="13" t="n">
        <v>0</v>
      </c>
      <c r="I48" s="21" t="n">
        <v>158681.34</v>
      </c>
      <c r="J48" t="inlineStr">
        <is>
          <t>Jun</t>
        </is>
      </c>
      <c r="K48" t="n">
        <v>2025</v>
      </c>
    </row>
    <row r="49">
      <c r="A49" t="inlineStr">
        <is>
          <t>ORD-1048</t>
        </is>
      </c>
      <c r="B49" s="11" t="n">
        <v>45825</v>
      </c>
      <c r="C49" t="inlineStr">
        <is>
          <t>South</t>
        </is>
      </c>
      <c r="D49" t="inlineStr">
        <is>
          <t>Furniture</t>
        </is>
      </c>
      <c r="E49" t="inlineStr">
        <is>
          <t>Desk</t>
        </is>
      </c>
      <c r="F49" s="12" t="n">
        <v>8</v>
      </c>
      <c r="G49" s="21" t="n">
        <v>12421.66</v>
      </c>
      <c r="H49" s="13" t="n">
        <v>0</v>
      </c>
      <c r="I49" s="21" t="n">
        <v>99373.28</v>
      </c>
      <c r="J49" t="inlineStr">
        <is>
          <t>Jun</t>
        </is>
      </c>
      <c r="K49" t="n">
        <v>2025</v>
      </c>
    </row>
    <row r="50">
      <c r="A50" t="inlineStr">
        <is>
          <t>ORD-1049</t>
        </is>
      </c>
      <c r="B50" s="11" t="n">
        <v>45828</v>
      </c>
      <c r="C50" t="inlineStr">
        <is>
          <t>North</t>
        </is>
      </c>
      <c r="D50" t="inlineStr">
        <is>
          <t>Electronics</t>
        </is>
      </c>
      <c r="E50" t="inlineStr">
        <is>
          <t>Laptop</t>
        </is>
      </c>
      <c r="F50" s="12" t="n">
        <v>2</v>
      </c>
      <c r="G50" s="21" t="n">
        <v>61853.24</v>
      </c>
      <c r="H50" s="13" t="n">
        <v>0.03</v>
      </c>
      <c r="I50" s="21" t="n">
        <v>119995.29</v>
      </c>
      <c r="J50" t="inlineStr">
        <is>
          <t>Jun</t>
        </is>
      </c>
      <c r="K50" t="n">
        <v>2025</v>
      </c>
    </row>
    <row r="51">
      <c r="A51" t="inlineStr">
        <is>
          <t>ORD-1050</t>
        </is>
      </c>
      <c r="B51" s="11" t="n">
        <v>45832</v>
      </c>
      <c r="C51" t="inlineStr">
        <is>
          <t>South</t>
        </is>
      </c>
      <c r="D51" t="inlineStr">
        <is>
          <t>Electronics</t>
        </is>
      </c>
      <c r="E51" t="inlineStr">
        <is>
          <t>Monitor</t>
        </is>
      </c>
      <c r="F51" s="12" t="n">
        <v>9</v>
      </c>
      <c r="G51" s="21" t="n">
        <v>18106.74</v>
      </c>
      <c r="H51" s="13" t="n">
        <v>0.08</v>
      </c>
      <c r="I51" s="21" t="n">
        <v>149923.81</v>
      </c>
      <c r="J51" t="inlineStr">
        <is>
          <t>Jun</t>
        </is>
      </c>
      <c r="K51" t="n">
        <v>2025</v>
      </c>
    </row>
    <row r="52">
      <c r="A52" t="inlineStr">
        <is>
          <t>ORD-1051</t>
        </is>
      </c>
      <c r="B52" s="11" t="n">
        <v>45835</v>
      </c>
      <c r="C52" t="inlineStr">
        <is>
          <t>North</t>
        </is>
      </c>
      <c r="D52" t="inlineStr">
        <is>
          <t>Electronics</t>
        </is>
      </c>
      <c r="E52" t="inlineStr">
        <is>
          <t>Smartphone</t>
        </is>
      </c>
      <c r="F52" s="12" t="n">
        <v>14</v>
      </c>
      <c r="G52" s="21" t="n">
        <v>28326.44</v>
      </c>
      <c r="H52" s="13" t="n">
        <v>0.08</v>
      </c>
      <c r="I52" s="21" t="n">
        <v>364844.55</v>
      </c>
      <c r="J52" t="inlineStr">
        <is>
          <t>Jun</t>
        </is>
      </c>
      <c r="K52" t="n">
        <v>2025</v>
      </c>
    </row>
    <row r="53">
      <c r="A53" t="inlineStr">
        <is>
          <t>ORD-1052</t>
        </is>
      </c>
      <c r="B53" s="11" t="n">
        <v>45839</v>
      </c>
      <c r="C53" t="inlineStr">
        <is>
          <t>East</t>
        </is>
      </c>
      <c r="D53" t="inlineStr">
        <is>
          <t>Office Equipment</t>
        </is>
      </c>
      <c r="E53" t="inlineStr">
        <is>
          <t>Printer</t>
        </is>
      </c>
      <c r="F53" s="12" t="n">
        <v>7</v>
      </c>
      <c r="G53" s="21" t="n">
        <v>14336.61</v>
      </c>
      <c r="H53" s="13" t="n">
        <v>0</v>
      </c>
      <c r="I53" s="21" t="n">
        <v>100356.27</v>
      </c>
      <c r="J53" t="inlineStr">
        <is>
          <t>Jul</t>
        </is>
      </c>
      <c r="K53" t="n">
        <v>2025</v>
      </c>
    </row>
    <row r="54">
      <c r="A54" t="inlineStr">
        <is>
          <t>ORD-1053</t>
        </is>
      </c>
      <c r="B54" s="11" t="n">
        <v>45843</v>
      </c>
      <c r="C54" t="inlineStr">
        <is>
          <t>East</t>
        </is>
      </c>
      <c r="D54" t="inlineStr">
        <is>
          <t>Accessories</t>
        </is>
      </c>
      <c r="E54" t="inlineStr">
        <is>
          <t>Headphones</t>
        </is>
      </c>
      <c r="F54" s="12" t="n">
        <v>4</v>
      </c>
      <c r="G54" s="21" t="n">
        <v>3599.42</v>
      </c>
      <c r="H54" s="13" t="n">
        <v>0</v>
      </c>
      <c r="I54" s="21" t="n">
        <v>14397.68</v>
      </c>
      <c r="J54" t="inlineStr">
        <is>
          <t>Jul</t>
        </is>
      </c>
      <c r="K54" t="n">
        <v>2025</v>
      </c>
    </row>
    <row r="55">
      <c r="A55" t="inlineStr">
        <is>
          <t>ORD-1054</t>
        </is>
      </c>
      <c r="B55" s="11" t="n">
        <v>45846</v>
      </c>
      <c r="C55" t="inlineStr">
        <is>
          <t>North</t>
        </is>
      </c>
      <c r="D55" t="inlineStr">
        <is>
          <t>Accessories</t>
        </is>
      </c>
      <c r="E55" t="inlineStr">
        <is>
          <t>Headphones</t>
        </is>
      </c>
      <c r="F55" s="12" t="n">
        <v>8</v>
      </c>
      <c r="G55" s="21" t="n">
        <v>3778.99</v>
      </c>
      <c r="H55" s="13" t="n">
        <v>0.08</v>
      </c>
      <c r="I55" s="21" t="n">
        <v>27813.37</v>
      </c>
      <c r="J55" t="inlineStr">
        <is>
          <t>Jul</t>
        </is>
      </c>
      <c r="K55" t="n">
        <v>2025</v>
      </c>
    </row>
    <row r="56">
      <c r="A56" t="inlineStr">
        <is>
          <t>ORD-1055</t>
        </is>
      </c>
      <c r="B56" s="11" t="n">
        <v>45850</v>
      </c>
      <c r="C56" t="inlineStr">
        <is>
          <t>East</t>
        </is>
      </c>
      <c r="D56" t="inlineStr">
        <is>
          <t>Electronics</t>
        </is>
      </c>
      <c r="E56" t="inlineStr">
        <is>
          <t>Monitor</t>
        </is>
      </c>
      <c r="F56" s="12" t="n">
        <v>14</v>
      </c>
      <c r="G56" s="21" t="n">
        <v>18588.61</v>
      </c>
      <c r="H56" s="13" t="n">
        <v>0</v>
      </c>
      <c r="I56" s="21" t="n">
        <v>260240.54</v>
      </c>
      <c r="J56" t="inlineStr">
        <is>
          <t>Jul</t>
        </is>
      </c>
      <c r="K56" t="n">
        <v>2025</v>
      </c>
    </row>
    <row r="57">
      <c r="A57" t="inlineStr">
        <is>
          <t>ORD-1056</t>
        </is>
      </c>
      <c r="B57" s="11" t="n">
        <v>45853</v>
      </c>
      <c r="C57" t="inlineStr">
        <is>
          <t>South</t>
        </is>
      </c>
      <c r="D57" t="inlineStr">
        <is>
          <t>Accessories</t>
        </is>
      </c>
      <c r="E57" t="inlineStr">
        <is>
          <t>Keyboard</t>
        </is>
      </c>
      <c r="F57" s="12" t="n">
        <v>14</v>
      </c>
      <c r="G57" s="21" t="n">
        <v>1794.82</v>
      </c>
      <c r="H57" s="13" t="n">
        <v>0.03</v>
      </c>
      <c r="I57" s="21" t="n">
        <v>24373.66</v>
      </c>
      <c r="J57" t="inlineStr">
        <is>
          <t>Jul</t>
        </is>
      </c>
      <c r="K57" t="n">
        <v>2025</v>
      </c>
    </row>
    <row r="58">
      <c r="A58" t="inlineStr">
        <is>
          <t>ORD-1057</t>
        </is>
      </c>
      <c r="B58" s="11" t="n">
        <v>45857</v>
      </c>
      <c r="C58" t="inlineStr">
        <is>
          <t>Central</t>
        </is>
      </c>
      <c r="D58" t="inlineStr">
        <is>
          <t>Accessories</t>
        </is>
      </c>
      <c r="E58" t="inlineStr">
        <is>
          <t>Headphones</t>
        </is>
      </c>
      <c r="F58" s="12" t="n">
        <v>9</v>
      </c>
      <c r="G58" s="21" t="n">
        <v>3648.53</v>
      </c>
      <c r="H58" s="13" t="n">
        <v>0.08</v>
      </c>
      <c r="I58" s="21" t="n">
        <v>30209.83</v>
      </c>
      <c r="J58" t="inlineStr">
        <is>
          <t>Jul</t>
        </is>
      </c>
      <c r="K58" t="n">
        <v>2025</v>
      </c>
    </row>
    <row r="59">
      <c r="A59" t="inlineStr">
        <is>
          <t>ORD-1058</t>
        </is>
      </c>
      <c r="B59" s="11" t="n">
        <v>45860</v>
      </c>
      <c r="C59" t="inlineStr">
        <is>
          <t>Central</t>
        </is>
      </c>
      <c r="D59" t="inlineStr">
        <is>
          <t>Electronics</t>
        </is>
      </c>
      <c r="E59" t="inlineStr">
        <is>
          <t>Laptop</t>
        </is>
      </c>
      <c r="F59" s="12" t="n">
        <v>4</v>
      </c>
      <c r="G59" s="21" t="n">
        <v>67048.97</v>
      </c>
      <c r="H59" s="13" t="n">
        <v>0.05</v>
      </c>
      <c r="I59" s="21" t="n">
        <v>254786.09</v>
      </c>
      <c r="J59" t="inlineStr">
        <is>
          <t>Jul</t>
        </is>
      </c>
      <c r="K59" t="n">
        <v>2025</v>
      </c>
    </row>
    <row r="60">
      <c r="A60" t="inlineStr">
        <is>
          <t>ORD-1059</t>
        </is>
      </c>
      <c r="B60" s="11" t="n">
        <v>45864</v>
      </c>
      <c r="C60" t="inlineStr">
        <is>
          <t>West</t>
        </is>
      </c>
      <c r="D60" t="inlineStr">
        <is>
          <t>Electronics</t>
        </is>
      </c>
      <c r="E60" t="inlineStr">
        <is>
          <t>Laptop</t>
        </is>
      </c>
      <c r="F60" s="12" t="n">
        <v>11</v>
      </c>
      <c r="G60" s="21" t="n">
        <v>66772.32000000001</v>
      </c>
      <c r="H60" s="13" t="n">
        <v>0.05</v>
      </c>
      <c r="I60" s="21" t="n">
        <v>697770.74</v>
      </c>
      <c r="J60" t="inlineStr">
        <is>
          <t>Jul</t>
        </is>
      </c>
      <c r="K60" t="n">
        <v>2025</v>
      </c>
    </row>
    <row r="61">
      <c r="A61" t="inlineStr">
        <is>
          <t>ORD-1060</t>
        </is>
      </c>
      <c r="B61" s="11" t="n">
        <v>45867</v>
      </c>
      <c r="C61" t="inlineStr">
        <is>
          <t>Central</t>
        </is>
      </c>
      <c r="D61" t="inlineStr">
        <is>
          <t>Furniture</t>
        </is>
      </c>
      <c r="E61" t="inlineStr">
        <is>
          <t>Office Chair</t>
        </is>
      </c>
      <c r="F61" s="12" t="n">
        <v>3</v>
      </c>
      <c r="G61" s="21" t="n">
        <v>9375.35</v>
      </c>
      <c r="H61" s="13" t="n">
        <v>0.05</v>
      </c>
      <c r="I61" s="21" t="n">
        <v>26719.75</v>
      </c>
      <c r="J61" t="inlineStr">
        <is>
          <t>Jul</t>
        </is>
      </c>
      <c r="K61" t="n">
        <v>2025</v>
      </c>
    </row>
    <row r="62">
      <c r="A62" t="inlineStr">
        <is>
          <t>ORD-1061</t>
        </is>
      </c>
      <c r="B62" s="11" t="n">
        <v>45871</v>
      </c>
      <c r="C62" t="inlineStr">
        <is>
          <t>North</t>
        </is>
      </c>
      <c r="D62" t="inlineStr">
        <is>
          <t>Accessories</t>
        </is>
      </c>
      <c r="E62" t="inlineStr">
        <is>
          <t>Keyboard</t>
        </is>
      </c>
      <c r="F62" s="12" t="n">
        <v>12</v>
      </c>
      <c r="G62" s="21" t="n">
        <v>1690.29</v>
      </c>
      <c r="H62" s="13" t="n">
        <v>0</v>
      </c>
      <c r="I62" s="21" t="n">
        <v>20283.48</v>
      </c>
      <c r="J62" t="inlineStr">
        <is>
          <t>Aug</t>
        </is>
      </c>
      <c r="K62" t="n">
        <v>2025</v>
      </c>
    </row>
    <row r="63">
      <c r="A63" t="inlineStr">
        <is>
          <t>ORD-1062</t>
        </is>
      </c>
      <c r="B63" s="11" t="n">
        <v>45875</v>
      </c>
      <c r="C63" t="inlineStr">
        <is>
          <t>East</t>
        </is>
      </c>
      <c r="D63" t="inlineStr">
        <is>
          <t>Accessories</t>
        </is>
      </c>
      <c r="E63" t="inlineStr">
        <is>
          <t>Keyboard</t>
        </is>
      </c>
      <c r="F63" s="12" t="n">
        <v>4</v>
      </c>
      <c r="G63" s="21" t="n">
        <v>1896.68</v>
      </c>
      <c r="H63" s="13" t="n">
        <v>0.05</v>
      </c>
      <c r="I63" s="21" t="n">
        <v>7207.38</v>
      </c>
      <c r="J63" t="inlineStr">
        <is>
          <t>Aug</t>
        </is>
      </c>
      <c r="K63" t="n">
        <v>2025</v>
      </c>
    </row>
    <row r="64">
      <c r="A64" t="inlineStr">
        <is>
          <t>ORD-1063</t>
        </is>
      </c>
      <c r="B64" s="11" t="n">
        <v>45878</v>
      </c>
      <c r="C64" t="inlineStr">
        <is>
          <t>North</t>
        </is>
      </c>
      <c r="D64" t="inlineStr">
        <is>
          <t>Office Equipment</t>
        </is>
      </c>
      <c r="E64" t="inlineStr">
        <is>
          <t>Printer</t>
        </is>
      </c>
      <c r="F64" s="12" t="n">
        <v>12</v>
      </c>
      <c r="G64" s="21" t="n">
        <v>14909.83</v>
      </c>
      <c r="H64" s="13" t="n">
        <v>0.08</v>
      </c>
      <c r="I64" s="21" t="n">
        <v>164604.52</v>
      </c>
      <c r="J64" t="inlineStr">
        <is>
          <t>Aug</t>
        </is>
      </c>
      <c r="K64" t="n">
        <v>2025</v>
      </c>
    </row>
    <row r="65">
      <c r="A65" t="inlineStr">
        <is>
          <t>ORD-1064</t>
        </is>
      </c>
      <c r="B65" s="11" t="n">
        <v>45882</v>
      </c>
      <c r="C65" t="inlineStr">
        <is>
          <t>Central</t>
        </is>
      </c>
      <c r="D65" t="inlineStr">
        <is>
          <t>Furniture</t>
        </is>
      </c>
      <c r="E65" t="inlineStr">
        <is>
          <t>Office Chair</t>
        </is>
      </c>
      <c r="F65" s="12" t="n">
        <v>6</v>
      </c>
      <c r="G65" s="21" t="n">
        <v>9970.67</v>
      </c>
      <c r="H65" s="13" t="n">
        <v>0.05</v>
      </c>
      <c r="I65" s="21" t="n">
        <v>56832.82</v>
      </c>
      <c r="J65" t="inlineStr">
        <is>
          <t>Aug</t>
        </is>
      </c>
      <c r="K65" t="n">
        <v>2025</v>
      </c>
    </row>
    <row r="66">
      <c r="A66" t="inlineStr">
        <is>
          <t>ORD-1065</t>
        </is>
      </c>
      <c r="B66" s="11" t="n">
        <v>45885</v>
      </c>
      <c r="C66" t="inlineStr">
        <is>
          <t>Central</t>
        </is>
      </c>
      <c r="D66" t="inlineStr">
        <is>
          <t>Accessories</t>
        </is>
      </c>
      <c r="E66" t="inlineStr">
        <is>
          <t>Keyboard</t>
        </is>
      </c>
      <c r="F66" s="12" t="n">
        <v>1</v>
      </c>
      <c r="G66" s="21" t="n">
        <v>1826.03</v>
      </c>
      <c r="H66" s="13" t="n">
        <v>0.1</v>
      </c>
      <c r="I66" s="21" t="n">
        <v>1643.43</v>
      </c>
      <c r="J66" t="inlineStr">
        <is>
          <t>Aug</t>
        </is>
      </c>
      <c r="K66" t="n">
        <v>2025</v>
      </c>
    </row>
    <row r="67">
      <c r="A67" t="inlineStr">
        <is>
          <t>ORD-1066</t>
        </is>
      </c>
      <c r="B67" s="11" t="n">
        <v>45889</v>
      </c>
      <c r="C67" t="inlineStr">
        <is>
          <t>North</t>
        </is>
      </c>
      <c r="D67" t="inlineStr">
        <is>
          <t>Electronics</t>
        </is>
      </c>
      <c r="E67" t="inlineStr">
        <is>
          <t>Monitor</t>
        </is>
      </c>
      <c r="F67" s="12" t="n">
        <v>4</v>
      </c>
      <c r="G67" s="21" t="n">
        <v>17586.35</v>
      </c>
      <c r="H67" s="13" t="n">
        <v>0.1</v>
      </c>
      <c r="I67" s="21" t="n">
        <v>63310.86</v>
      </c>
      <c r="J67" t="inlineStr">
        <is>
          <t>Aug</t>
        </is>
      </c>
      <c r="K67" t="n">
        <v>2025</v>
      </c>
    </row>
    <row r="68">
      <c r="A68" t="inlineStr">
        <is>
          <t>ORD-1067</t>
        </is>
      </c>
      <c r="B68" s="11" t="n">
        <v>45892</v>
      </c>
      <c r="C68" t="inlineStr">
        <is>
          <t>North</t>
        </is>
      </c>
      <c r="D68" t="inlineStr">
        <is>
          <t>Furniture</t>
        </is>
      </c>
      <c r="E68" t="inlineStr">
        <is>
          <t>Desk</t>
        </is>
      </c>
      <c r="F68" s="12" t="n">
        <v>3</v>
      </c>
      <c r="G68" s="21" t="n">
        <v>12136.32</v>
      </c>
      <c r="H68" s="13" t="n">
        <v>0.03</v>
      </c>
      <c r="I68" s="21" t="n">
        <v>35316.69</v>
      </c>
      <c r="J68" t="inlineStr">
        <is>
          <t>Aug</t>
        </is>
      </c>
      <c r="K68" t="n">
        <v>2025</v>
      </c>
    </row>
    <row r="69">
      <c r="A69" t="inlineStr">
        <is>
          <t>ORD-1068</t>
        </is>
      </c>
      <c r="B69" s="11" t="n">
        <v>45896</v>
      </c>
      <c r="C69" t="inlineStr">
        <is>
          <t>South</t>
        </is>
      </c>
      <c r="D69" t="inlineStr">
        <is>
          <t>Furniture</t>
        </is>
      </c>
      <c r="E69" t="inlineStr">
        <is>
          <t>Desk</t>
        </is>
      </c>
      <c r="F69" s="12" t="n">
        <v>3</v>
      </c>
      <c r="G69" s="21" t="n">
        <v>12276.02</v>
      </c>
      <c r="H69" s="13" t="n">
        <v>0.03</v>
      </c>
      <c r="I69" s="21" t="n">
        <v>35723.22</v>
      </c>
      <c r="J69" t="inlineStr">
        <is>
          <t>Aug</t>
        </is>
      </c>
      <c r="K69" t="n">
        <v>2025</v>
      </c>
    </row>
    <row r="70">
      <c r="A70" t="inlineStr">
        <is>
          <t>ORD-1069</t>
        </is>
      </c>
      <c r="B70" s="11" t="n">
        <v>45899</v>
      </c>
      <c r="C70" t="inlineStr">
        <is>
          <t>South</t>
        </is>
      </c>
      <c r="D70" t="inlineStr">
        <is>
          <t>Furniture</t>
        </is>
      </c>
      <c r="E70" t="inlineStr">
        <is>
          <t>Office Chair</t>
        </is>
      </c>
      <c r="F70" s="12" t="n">
        <v>15</v>
      </c>
      <c r="G70" s="21" t="n">
        <v>9111.049999999999</v>
      </c>
      <c r="H70" s="13" t="n">
        <v>0.05</v>
      </c>
      <c r="I70" s="21" t="n">
        <v>129832.46</v>
      </c>
      <c r="J70" t="inlineStr">
        <is>
          <t>Aug</t>
        </is>
      </c>
      <c r="K70" t="n">
        <v>2025</v>
      </c>
    </row>
    <row r="71">
      <c r="A71" t="inlineStr">
        <is>
          <t>ORD-1070</t>
        </is>
      </c>
      <c r="B71" s="11" t="n">
        <v>45903</v>
      </c>
      <c r="C71" t="inlineStr">
        <is>
          <t>North</t>
        </is>
      </c>
      <c r="D71" t="inlineStr">
        <is>
          <t>Electronics</t>
        </is>
      </c>
      <c r="E71" t="inlineStr">
        <is>
          <t>Smartphone</t>
        </is>
      </c>
      <c r="F71" s="12" t="n">
        <v>8</v>
      </c>
      <c r="G71" s="21" t="n">
        <v>25965.08</v>
      </c>
      <c r="H71" s="13" t="n">
        <v>0</v>
      </c>
      <c r="I71" s="21" t="n">
        <v>207720.64</v>
      </c>
      <c r="J71" t="inlineStr">
        <is>
          <t>Sep</t>
        </is>
      </c>
      <c r="K71" t="n">
        <v>2025</v>
      </c>
    </row>
    <row r="72">
      <c r="A72" t="inlineStr">
        <is>
          <t>ORD-1071</t>
        </is>
      </c>
      <c r="B72" s="11" t="n">
        <v>45907</v>
      </c>
      <c r="C72" t="inlineStr">
        <is>
          <t>Central</t>
        </is>
      </c>
      <c r="D72" t="inlineStr">
        <is>
          <t>Furniture</t>
        </is>
      </c>
      <c r="E72" t="inlineStr">
        <is>
          <t>Office Chair</t>
        </is>
      </c>
      <c r="F72" s="12" t="n">
        <v>10</v>
      </c>
      <c r="G72" s="21" t="n">
        <v>10089.22</v>
      </c>
      <c r="H72" s="13" t="n">
        <v>0.03</v>
      </c>
      <c r="I72" s="21" t="n">
        <v>97865.42999999999</v>
      </c>
      <c r="J72" t="inlineStr">
        <is>
          <t>Sep</t>
        </is>
      </c>
      <c r="K72" t="n">
        <v>2025</v>
      </c>
    </row>
    <row r="73">
      <c r="A73" t="inlineStr">
        <is>
          <t>ORD-1072</t>
        </is>
      </c>
      <c r="B73" s="11" t="n">
        <v>45910</v>
      </c>
      <c r="C73" t="inlineStr">
        <is>
          <t>Central</t>
        </is>
      </c>
      <c r="D73" t="inlineStr">
        <is>
          <t>Electronics</t>
        </is>
      </c>
      <c r="E73" t="inlineStr">
        <is>
          <t>Laptop</t>
        </is>
      </c>
      <c r="F73" s="12" t="n">
        <v>12</v>
      </c>
      <c r="G73" s="21" t="n">
        <v>58567.4</v>
      </c>
      <c r="H73" s="13" t="n">
        <v>0.03</v>
      </c>
      <c r="I73" s="21" t="n">
        <v>681724.54</v>
      </c>
      <c r="J73" t="inlineStr">
        <is>
          <t>Sep</t>
        </is>
      </c>
      <c r="K73" t="n">
        <v>2025</v>
      </c>
    </row>
    <row r="74">
      <c r="A74" t="inlineStr">
        <is>
          <t>ORD-1073</t>
        </is>
      </c>
      <c r="B74" s="11" t="n">
        <v>45914</v>
      </c>
      <c r="C74" t="inlineStr">
        <is>
          <t>Central</t>
        </is>
      </c>
      <c r="D74" t="inlineStr">
        <is>
          <t>Electronics</t>
        </is>
      </c>
      <c r="E74" t="inlineStr">
        <is>
          <t>Monitor</t>
        </is>
      </c>
      <c r="F74" s="12" t="n">
        <v>4</v>
      </c>
      <c r="G74" s="21" t="n">
        <v>16455.39</v>
      </c>
      <c r="H74" s="13" t="n">
        <v>0</v>
      </c>
      <c r="I74" s="21" t="n">
        <v>65821.56</v>
      </c>
      <c r="J74" t="inlineStr">
        <is>
          <t>Sep</t>
        </is>
      </c>
      <c r="K74" t="n">
        <v>2025</v>
      </c>
    </row>
    <row r="75">
      <c r="A75" t="inlineStr">
        <is>
          <t>ORD-1074</t>
        </is>
      </c>
      <c r="B75" s="11" t="n">
        <v>45917</v>
      </c>
      <c r="C75" t="inlineStr">
        <is>
          <t>West</t>
        </is>
      </c>
      <c r="D75" t="inlineStr">
        <is>
          <t>Furniture</t>
        </is>
      </c>
      <c r="E75" t="inlineStr">
        <is>
          <t>Office Chair</t>
        </is>
      </c>
      <c r="F75" s="12" t="n">
        <v>3</v>
      </c>
      <c r="G75" s="21" t="n">
        <v>9649.84</v>
      </c>
      <c r="H75" s="13" t="n">
        <v>0.08</v>
      </c>
      <c r="I75" s="21" t="n">
        <v>26633.56</v>
      </c>
      <c r="J75" t="inlineStr">
        <is>
          <t>Sep</t>
        </is>
      </c>
      <c r="K75" t="n">
        <v>2025</v>
      </c>
    </row>
    <row r="76">
      <c r="A76" t="inlineStr">
        <is>
          <t>ORD-1075</t>
        </is>
      </c>
      <c r="B76" s="11" t="n">
        <v>45921</v>
      </c>
      <c r="C76" t="inlineStr">
        <is>
          <t>East</t>
        </is>
      </c>
      <c r="D76" t="inlineStr">
        <is>
          <t>Office Equipment</t>
        </is>
      </c>
      <c r="E76" t="inlineStr">
        <is>
          <t>Printer</t>
        </is>
      </c>
      <c r="F76" s="12" t="n">
        <v>9</v>
      </c>
      <c r="G76" s="21" t="n">
        <v>15127.93</v>
      </c>
      <c r="H76" s="13" t="n">
        <v>0.03</v>
      </c>
      <c r="I76" s="21" t="n">
        <v>132066.83</v>
      </c>
      <c r="J76" t="inlineStr">
        <is>
          <t>Sep</t>
        </is>
      </c>
      <c r="K76" t="n">
        <v>2025</v>
      </c>
    </row>
    <row r="77">
      <c r="A77" t="inlineStr">
        <is>
          <t>ORD-1076</t>
        </is>
      </c>
      <c r="B77" s="11" t="n">
        <v>45924</v>
      </c>
      <c r="C77" t="inlineStr">
        <is>
          <t>South</t>
        </is>
      </c>
      <c r="D77" t="inlineStr">
        <is>
          <t>Accessories</t>
        </is>
      </c>
      <c r="E77" t="inlineStr">
        <is>
          <t>Keyboard</t>
        </is>
      </c>
      <c r="F77" s="12" t="n">
        <v>10</v>
      </c>
      <c r="G77" s="21" t="n">
        <v>1633.45</v>
      </c>
      <c r="H77" s="13" t="n">
        <v>0</v>
      </c>
      <c r="I77" s="21" t="n">
        <v>16334.5</v>
      </c>
      <c r="J77" t="inlineStr">
        <is>
          <t>Sep</t>
        </is>
      </c>
      <c r="K77" t="n">
        <v>2025</v>
      </c>
    </row>
    <row r="78">
      <c r="A78" t="inlineStr">
        <is>
          <t>ORD-1077</t>
        </is>
      </c>
      <c r="B78" s="11" t="n">
        <v>45928</v>
      </c>
      <c r="C78" t="inlineStr">
        <is>
          <t>East</t>
        </is>
      </c>
      <c r="D78" t="inlineStr">
        <is>
          <t>Furniture</t>
        </is>
      </c>
      <c r="E78" t="inlineStr">
        <is>
          <t>Office Chair</t>
        </is>
      </c>
      <c r="F78" s="12" t="n">
        <v>12</v>
      </c>
      <c r="G78" s="21" t="n">
        <v>9542.26</v>
      </c>
      <c r="H78" s="13" t="n">
        <v>0.1</v>
      </c>
      <c r="I78" s="21" t="n">
        <v>103056.41</v>
      </c>
      <c r="J78" t="inlineStr">
        <is>
          <t>Sep</t>
        </is>
      </c>
      <c r="K78" t="n">
        <v>2025</v>
      </c>
    </row>
    <row r="79">
      <c r="A79" t="inlineStr">
        <is>
          <t>ORD-1078</t>
        </is>
      </c>
      <c r="B79" s="11" t="n">
        <v>45932</v>
      </c>
      <c r="C79" t="inlineStr">
        <is>
          <t>West</t>
        </is>
      </c>
      <c r="D79" t="inlineStr">
        <is>
          <t>Accessories</t>
        </is>
      </c>
      <c r="E79" t="inlineStr">
        <is>
          <t>Keyboard</t>
        </is>
      </c>
      <c r="F79" s="12" t="n">
        <v>12</v>
      </c>
      <c r="G79" s="21" t="n">
        <v>1844.24</v>
      </c>
      <c r="H79" s="13" t="n">
        <v>0.08</v>
      </c>
      <c r="I79" s="21" t="n">
        <v>20360.41</v>
      </c>
      <c r="J79" t="inlineStr">
        <is>
          <t>Oct</t>
        </is>
      </c>
      <c r="K79" t="n">
        <v>2025</v>
      </c>
    </row>
    <row r="80">
      <c r="A80" t="inlineStr">
        <is>
          <t>ORD-1079</t>
        </is>
      </c>
      <c r="B80" s="11" t="n">
        <v>45935</v>
      </c>
      <c r="C80" t="inlineStr">
        <is>
          <t>Central</t>
        </is>
      </c>
      <c r="D80" t="inlineStr">
        <is>
          <t>Electronics</t>
        </is>
      </c>
      <c r="E80" t="inlineStr">
        <is>
          <t>Monitor</t>
        </is>
      </c>
      <c r="F80" s="12" t="n">
        <v>4</v>
      </c>
      <c r="G80" s="21" t="n">
        <v>18494.75</v>
      </c>
      <c r="H80" s="13" t="n">
        <v>0.05</v>
      </c>
      <c r="I80" s="21" t="n">
        <v>70280.05</v>
      </c>
      <c r="J80" t="inlineStr">
        <is>
          <t>Oct</t>
        </is>
      </c>
      <c r="K80" t="n">
        <v>2025</v>
      </c>
    </row>
    <row r="81">
      <c r="A81" t="inlineStr">
        <is>
          <t>ORD-1080</t>
        </is>
      </c>
      <c r="B81" s="11" t="n">
        <v>45939</v>
      </c>
      <c r="C81" t="inlineStr">
        <is>
          <t>Central</t>
        </is>
      </c>
      <c r="D81" t="inlineStr">
        <is>
          <t>Electronics</t>
        </is>
      </c>
      <c r="E81" t="inlineStr">
        <is>
          <t>Monitor</t>
        </is>
      </c>
      <c r="F81" s="12" t="n">
        <v>2</v>
      </c>
      <c r="G81" s="21" t="n">
        <v>18772.54</v>
      </c>
      <c r="H81" s="13" t="n">
        <v>0.08</v>
      </c>
      <c r="I81" s="21" t="n">
        <v>34541.47</v>
      </c>
      <c r="J81" t="inlineStr">
        <is>
          <t>Oct</t>
        </is>
      </c>
      <c r="K81" t="n">
        <v>2025</v>
      </c>
    </row>
    <row r="82">
      <c r="A82" t="inlineStr">
        <is>
          <t>ORD-1081</t>
        </is>
      </c>
      <c r="B82" s="11" t="n">
        <v>45942</v>
      </c>
      <c r="C82" t="inlineStr">
        <is>
          <t>North</t>
        </is>
      </c>
      <c r="D82" t="inlineStr">
        <is>
          <t>Accessories</t>
        </is>
      </c>
      <c r="E82" t="inlineStr">
        <is>
          <t>Headphones</t>
        </is>
      </c>
      <c r="F82" s="12" t="n">
        <v>8</v>
      </c>
      <c r="G82" s="21" t="n">
        <v>3457.28</v>
      </c>
      <c r="H82" s="13" t="n">
        <v>0.05</v>
      </c>
      <c r="I82" s="21" t="n">
        <v>26275.33</v>
      </c>
      <c r="J82" t="inlineStr">
        <is>
          <t>Oct</t>
        </is>
      </c>
      <c r="K82" t="n">
        <v>2025</v>
      </c>
    </row>
    <row r="83">
      <c r="A83" t="inlineStr">
        <is>
          <t>ORD-1082</t>
        </is>
      </c>
      <c r="B83" s="11" t="n">
        <v>45946</v>
      </c>
      <c r="C83" t="inlineStr">
        <is>
          <t>South</t>
        </is>
      </c>
      <c r="D83" t="inlineStr">
        <is>
          <t>Furniture</t>
        </is>
      </c>
      <c r="E83" t="inlineStr">
        <is>
          <t>Desk</t>
        </is>
      </c>
      <c r="F83" s="12" t="n">
        <v>5</v>
      </c>
      <c r="G83" s="21" t="n">
        <v>13110.36</v>
      </c>
      <c r="H83" s="13" t="n">
        <v>0.03</v>
      </c>
      <c r="I83" s="21" t="n">
        <v>63585.25</v>
      </c>
      <c r="J83" t="inlineStr">
        <is>
          <t>Oct</t>
        </is>
      </c>
      <c r="K83" t="n">
        <v>2025</v>
      </c>
    </row>
    <row r="84">
      <c r="A84" t="inlineStr">
        <is>
          <t>ORD-1083</t>
        </is>
      </c>
      <c r="B84" s="11" t="n">
        <v>45949</v>
      </c>
      <c r="C84" t="inlineStr">
        <is>
          <t>North</t>
        </is>
      </c>
      <c r="D84" t="inlineStr">
        <is>
          <t>Furniture</t>
        </is>
      </c>
      <c r="E84" t="inlineStr">
        <is>
          <t>Desk</t>
        </is>
      </c>
      <c r="F84" s="12" t="n">
        <v>12</v>
      </c>
      <c r="G84" s="21" t="n">
        <v>10939.66</v>
      </c>
      <c r="H84" s="13" t="n">
        <v>0.1</v>
      </c>
      <c r="I84" s="21" t="n">
        <v>118148.33</v>
      </c>
      <c r="J84" t="inlineStr">
        <is>
          <t>Oct</t>
        </is>
      </c>
      <c r="K84" t="n">
        <v>2025</v>
      </c>
    </row>
    <row r="85">
      <c r="A85" t="inlineStr">
        <is>
          <t>ORD-1084</t>
        </is>
      </c>
      <c r="B85" s="11" t="n">
        <v>45953</v>
      </c>
      <c r="C85" t="inlineStr">
        <is>
          <t>North</t>
        </is>
      </c>
      <c r="D85" t="inlineStr">
        <is>
          <t>Electronics</t>
        </is>
      </c>
      <c r="E85" t="inlineStr">
        <is>
          <t>Smartphone</t>
        </is>
      </c>
      <c r="F85" s="12" t="n">
        <v>15</v>
      </c>
      <c r="G85" s="21" t="n">
        <v>26542.81</v>
      </c>
      <c r="H85" s="13" t="n">
        <v>0.03</v>
      </c>
      <c r="I85" s="21" t="n">
        <v>386197.89</v>
      </c>
      <c r="J85" t="inlineStr">
        <is>
          <t>Oct</t>
        </is>
      </c>
      <c r="K85" t="n">
        <v>2025</v>
      </c>
    </row>
    <row r="86">
      <c r="A86" t="inlineStr">
        <is>
          <t>ORD-1085</t>
        </is>
      </c>
      <c r="B86" s="11" t="n">
        <v>45956</v>
      </c>
      <c r="C86" t="inlineStr">
        <is>
          <t>North</t>
        </is>
      </c>
      <c r="D86" t="inlineStr">
        <is>
          <t>Furniture</t>
        </is>
      </c>
      <c r="E86" t="inlineStr">
        <is>
          <t>Office Chair</t>
        </is>
      </c>
      <c r="F86" s="12" t="n">
        <v>8</v>
      </c>
      <c r="G86" s="21" t="n">
        <v>9081.870000000001</v>
      </c>
      <c r="H86" s="13" t="n">
        <v>0.1</v>
      </c>
      <c r="I86" s="21" t="n">
        <v>65389.46</v>
      </c>
      <c r="J86" t="inlineStr">
        <is>
          <t>Oct</t>
        </is>
      </c>
      <c r="K86" t="n">
        <v>2025</v>
      </c>
    </row>
    <row r="87">
      <c r="A87" t="inlineStr">
        <is>
          <t>ORD-1086</t>
        </is>
      </c>
      <c r="B87" s="11" t="n">
        <v>45960</v>
      </c>
      <c r="C87" t="inlineStr">
        <is>
          <t>Central</t>
        </is>
      </c>
      <c r="D87" t="inlineStr">
        <is>
          <t>Office Equipment</t>
        </is>
      </c>
      <c r="E87" t="inlineStr">
        <is>
          <t>Printer</t>
        </is>
      </c>
      <c r="F87" s="12" t="n">
        <v>7</v>
      </c>
      <c r="G87" s="21" t="n">
        <v>15335.16</v>
      </c>
      <c r="H87" s="13" t="n">
        <v>0.1</v>
      </c>
      <c r="I87" s="21" t="n">
        <v>96611.50999999999</v>
      </c>
      <c r="J87" t="inlineStr">
        <is>
          <t>Oct</t>
        </is>
      </c>
      <c r="K87" t="n">
        <v>2025</v>
      </c>
    </row>
    <row r="88">
      <c r="A88" t="inlineStr">
        <is>
          <t>ORD-1087</t>
        </is>
      </c>
      <c r="B88" s="11" t="n">
        <v>45964</v>
      </c>
      <c r="C88" t="inlineStr">
        <is>
          <t>East</t>
        </is>
      </c>
      <c r="D88" t="inlineStr">
        <is>
          <t>Furniture</t>
        </is>
      </c>
      <c r="E88" t="inlineStr">
        <is>
          <t>Desk</t>
        </is>
      </c>
      <c r="F88" s="12" t="n">
        <v>12</v>
      </c>
      <c r="G88" s="21" t="n">
        <v>11654.33</v>
      </c>
      <c r="H88" s="13" t="n">
        <v>0.03</v>
      </c>
      <c r="I88" s="21" t="n">
        <v>135656.4</v>
      </c>
      <c r="J88" t="inlineStr">
        <is>
          <t>Nov</t>
        </is>
      </c>
      <c r="K88" t="n">
        <v>2025</v>
      </c>
    </row>
    <row r="89">
      <c r="A89" t="inlineStr">
        <is>
          <t>ORD-1088</t>
        </is>
      </c>
      <c r="B89" s="11" t="n">
        <v>45967</v>
      </c>
      <c r="C89" t="inlineStr">
        <is>
          <t>North</t>
        </is>
      </c>
      <c r="D89" t="inlineStr">
        <is>
          <t>Accessories</t>
        </is>
      </c>
      <c r="E89" t="inlineStr">
        <is>
          <t>Keyboard</t>
        </is>
      </c>
      <c r="F89" s="12" t="n">
        <v>13</v>
      </c>
      <c r="G89" s="21" t="n">
        <v>1636.56</v>
      </c>
      <c r="H89" s="13" t="n">
        <v>0.08</v>
      </c>
      <c r="I89" s="21" t="n">
        <v>19573.26</v>
      </c>
      <c r="J89" t="inlineStr">
        <is>
          <t>Nov</t>
        </is>
      </c>
      <c r="K89" t="n">
        <v>2025</v>
      </c>
    </row>
    <row r="90">
      <c r="A90" t="inlineStr">
        <is>
          <t>ORD-1089</t>
        </is>
      </c>
      <c r="B90" s="11" t="n">
        <v>45971</v>
      </c>
      <c r="C90" t="inlineStr">
        <is>
          <t>West</t>
        </is>
      </c>
      <c r="D90" t="inlineStr">
        <is>
          <t>Electronics</t>
        </is>
      </c>
      <c r="E90" t="inlineStr">
        <is>
          <t>Laptop</t>
        </is>
      </c>
      <c r="F90" s="12" t="n">
        <v>5</v>
      </c>
      <c r="G90" s="21" t="n">
        <v>58723.09</v>
      </c>
      <c r="H90" s="13" t="n">
        <v>0.08</v>
      </c>
      <c r="I90" s="21" t="n">
        <v>270126.21</v>
      </c>
      <c r="J90" t="inlineStr">
        <is>
          <t>Nov</t>
        </is>
      </c>
      <c r="K90" t="n">
        <v>2025</v>
      </c>
    </row>
    <row r="91">
      <c r="A91" t="inlineStr">
        <is>
          <t>ORD-1090</t>
        </is>
      </c>
      <c r="B91" s="11" t="n">
        <v>45974</v>
      </c>
      <c r="C91" t="inlineStr">
        <is>
          <t>Central</t>
        </is>
      </c>
      <c r="D91" t="inlineStr">
        <is>
          <t>Electronics</t>
        </is>
      </c>
      <c r="E91" t="inlineStr">
        <is>
          <t>Smartphone</t>
        </is>
      </c>
      <c r="F91" s="12" t="n">
        <v>7</v>
      </c>
      <c r="G91" s="21" t="n">
        <v>26169.93</v>
      </c>
      <c r="H91" s="13" t="n">
        <v>0.08</v>
      </c>
      <c r="I91" s="21" t="n">
        <v>168534.35</v>
      </c>
      <c r="J91" t="inlineStr">
        <is>
          <t>Nov</t>
        </is>
      </c>
      <c r="K91" t="n">
        <v>2025</v>
      </c>
    </row>
    <row r="92">
      <c r="A92" t="inlineStr">
        <is>
          <t>ORD-1091</t>
        </is>
      </c>
      <c r="B92" s="11" t="n">
        <v>45978</v>
      </c>
      <c r="C92" t="inlineStr">
        <is>
          <t>Central</t>
        </is>
      </c>
      <c r="D92" t="inlineStr">
        <is>
          <t>Furniture</t>
        </is>
      </c>
      <c r="E92" t="inlineStr">
        <is>
          <t>Office Chair</t>
        </is>
      </c>
      <c r="F92" s="12" t="n">
        <v>7</v>
      </c>
      <c r="G92" s="21" t="n">
        <v>9720.120000000001</v>
      </c>
      <c r="H92" s="13" t="n">
        <v>0.03</v>
      </c>
      <c r="I92" s="21" t="n">
        <v>65999.61</v>
      </c>
      <c r="J92" t="inlineStr">
        <is>
          <t>Nov</t>
        </is>
      </c>
      <c r="K92" t="n">
        <v>2025</v>
      </c>
    </row>
    <row r="93">
      <c r="A93" t="inlineStr">
        <is>
          <t>ORD-1092</t>
        </is>
      </c>
      <c r="B93" s="11" t="n">
        <v>45981</v>
      </c>
      <c r="C93" t="inlineStr">
        <is>
          <t>West</t>
        </is>
      </c>
      <c r="D93" t="inlineStr">
        <is>
          <t>Accessories</t>
        </is>
      </c>
      <c r="E93" t="inlineStr">
        <is>
          <t>Keyboard</t>
        </is>
      </c>
      <c r="F93" s="12" t="n">
        <v>2</v>
      </c>
      <c r="G93" s="21" t="n">
        <v>1754.86</v>
      </c>
      <c r="H93" s="13" t="n">
        <v>0.08</v>
      </c>
      <c r="I93" s="21" t="n">
        <v>3228.94</v>
      </c>
      <c r="J93" t="inlineStr">
        <is>
          <t>Nov</t>
        </is>
      </c>
      <c r="K93" t="n">
        <v>2025</v>
      </c>
    </row>
    <row r="94">
      <c r="A94" t="inlineStr">
        <is>
          <t>ORD-1093</t>
        </is>
      </c>
      <c r="B94" s="11" t="n">
        <v>45985</v>
      </c>
      <c r="C94" t="inlineStr">
        <is>
          <t>East</t>
        </is>
      </c>
      <c r="D94" t="inlineStr">
        <is>
          <t>Electronics</t>
        </is>
      </c>
      <c r="E94" t="inlineStr">
        <is>
          <t>Smartphone</t>
        </is>
      </c>
      <c r="F94" s="12" t="n">
        <v>10</v>
      </c>
      <c r="G94" s="21" t="n">
        <v>28220.51</v>
      </c>
      <c r="H94" s="13" t="n">
        <v>0</v>
      </c>
      <c r="I94" s="21" t="n">
        <v>282205.1</v>
      </c>
      <c r="J94" t="inlineStr">
        <is>
          <t>Nov</t>
        </is>
      </c>
      <c r="K94" t="n">
        <v>2025</v>
      </c>
    </row>
    <row r="95">
      <c r="A95" t="inlineStr">
        <is>
          <t>ORD-1094</t>
        </is>
      </c>
      <c r="B95" s="11" t="n">
        <v>45988</v>
      </c>
      <c r="C95" t="inlineStr">
        <is>
          <t>West</t>
        </is>
      </c>
      <c r="D95" t="inlineStr">
        <is>
          <t>Accessories</t>
        </is>
      </c>
      <c r="E95" t="inlineStr">
        <is>
          <t>Keyboard</t>
        </is>
      </c>
      <c r="F95" s="12" t="n">
        <v>8</v>
      </c>
      <c r="G95" s="21" t="n">
        <v>1629.54</v>
      </c>
      <c r="H95" s="13" t="n">
        <v>0.03</v>
      </c>
      <c r="I95" s="21" t="n">
        <v>12645.23</v>
      </c>
      <c r="J95" t="inlineStr">
        <is>
          <t>Nov</t>
        </is>
      </c>
      <c r="K95" t="n">
        <v>2025</v>
      </c>
    </row>
    <row r="96">
      <c r="A96" t="inlineStr">
        <is>
          <t>ORD-1095</t>
        </is>
      </c>
      <c r="B96" s="11" t="n">
        <v>45992</v>
      </c>
      <c r="C96" t="inlineStr">
        <is>
          <t>East</t>
        </is>
      </c>
      <c r="D96" t="inlineStr">
        <is>
          <t>Office Equipment</t>
        </is>
      </c>
      <c r="E96" t="inlineStr">
        <is>
          <t>Printer</t>
        </is>
      </c>
      <c r="F96" s="12" t="n">
        <v>4</v>
      </c>
      <c r="G96" s="21" t="n">
        <v>14664.51</v>
      </c>
      <c r="H96" s="13" t="n">
        <v>0.08</v>
      </c>
      <c r="I96" s="21" t="n">
        <v>53965.4</v>
      </c>
      <c r="J96" t="inlineStr">
        <is>
          <t>Dec</t>
        </is>
      </c>
      <c r="K96" t="n">
        <v>2025</v>
      </c>
    </row>
    <row r="97">
      <c r="A97" t="inlineStr">
        <is>
          <t>ORD-1096</t>
        </is>
      </c>
      <c r="B97" s="11" t="n">
        <v>45996</v>
      </c>
      <c r="C97" t="inlineStr">
        <is>
          <t>North</t>
        </is>
      </c>
      <c r="D97" t="inlineStr">
        <is>
          <t>Electronics</t>
        </is>
      </c>
      <c r="E97" t="inlineStr">
        <is>
          <t>Monitor</t>
        </is>
      </c>
      <c r="F97" s="12" t="n">
        <v>1</v>
      </c>
      <c r="G97" s="21" t="n">
        <v>18164.22</v>
      </c>
      <c r="H97" s="13" t="n">
        <v>0.1</v>
      </c>
      <c r="I97" s="21" t="n">
        <v>16347.8</v>
      </c>
      <c r="J97" t="inlineStr">
        <is>
          <t>Dec</t>
        </is>
      </c>
      <c r="K97" t="n">
        <v>2025</v>
      </c>
    </row>
    <row r="98">
      <c r="A98" t="inlineStr">
        <is>
          <t>ORD-1097</t>
        </is>
      </c>
      <c r="B98" s="11" t="n">
        <v>45999</v>
      </c>
      <c r="C98" t="inlineStr">
        <is>
          <t>West</t>
        </is>
      </c>
      <c r="D98" t="inlineStr">
        <is>
          <t>Accessories</t>
        </is>
      </c>
      <c r="E98" t="inlineStr">
        <is>
          <t>Keyboard</t>
        </is>
      </c>
      <c r="F98" s="12" t="n">
        <v>3</v>
      </c>
      <c r="G98" s="21" t="n">
        <v>1966.03</v>
      </c>
      <c r="H98" s="13" t="n">
        <v>0</v>
      </c>
      <c r="I98" s="21" t="n">
        <v>5898.09</v>
      </c>
      <c r="J98" t="inlineStr">
        <is>
          <t>Dec</t>
        </is>
      </c>
      <c r="K98" t="n">
        <v>2025</v>
      </c>
    </row>
    <row r="99">
      <c r="A99" t="inlineStr">
        <is>
          <t>ORD-1098</t>
        </is>
      </c>
      <c r="B99" s="11" t="n">
        <v>46003</v>
      </c>
      <c r="C99" t="inlineStr">
        <is>
          <t>East</t>
        </is>
      </c>
      <c r="D99" t="inlineStr">
        <is>
          <t>Electronics</t>
        </is>
      </c>
      <c r="E99" t="inlineStr">
        <is>
          <t>Smartphone</t>
        </is>
      </c>
      <c r="F99" s="12" t="n">
        <v>12</v>
      </c>
      <c r="G99" s="21" t="n">
        <v>25588.42</v>
      </c>
      <c r="H99" s="13" t="n">
        <v>0.1</v>
      </c>
      <c r="I99" s="21" t="n">
        <v>276354.94</v>
      </c>
      <c r="J99" t="inlineStr">
        <is>
          <t>Dec</t>
        </is>
      </c>
      <c r="K99" t="n">
        <v>2025</v>
      </c>
    </row>
    <row r="100">
      <c r="A100" t="inlineStr">
        <is>
          <t>ORD-1099</t>
        </is>
      </c>
      <c r="B100" s="11" t="n">
        <v>46006</v>
      </c>
      <c r="C100" t="inlineStr">
        <is>
          <t>South</t>
        </is>
      </c>
      <c r="D100" t="inlineStr">
        <is>
          <t>Furniture</t>
        </is>
      </c>
      <c r="E100" t="inlineStr">
        <is>
          <t>Desk</t>
        </is>
      </c>
      <c r="F100" s="12" t="n">
        <v>13</v>
      </c>
      <c r="G100" s="21" t="n">
        <v>12283.81</v>
      </c>
      <c r="H100" s="13" t="n">
        <v>0.05</v>
      </c>
      <c r="I100" s="21" t="n">
        <v>151705.05</v>
      </c>
      <c r="J100" t="inlineStr">
        <is>
          <t>Dec</t>
        </is>
      </c>
      <c r="K100" t="n">
        <v>2025</v>
      </c>
    </row>
    <row r="101">
      <c r="A101" t="inlineStr">
        <is>
          <t>ORD-1100</t>
        </is>
      </c>
      <c r="B101" s="11" t="n">
        <v>46010</v>
      </c>
      <c r="C101" t="inlineStr">
        <is>
          <t>North</t>
        </is>
      </c>
      <c r="D101" t="inlineStr">
        <is>
          <t>Furniture</t>
        </is>
      </c>
      <c r="E101" t="inlineStr">
        <is>
          <t>Desk</t>
        </is>
      </c>
      <c r="F101" s="12" t="n">
        <v>10</v>
      </c>
      <c r="G101" s="21" t="n">
        <v>12827.7</v>
      </c>
      <c r="H101" s="13" t="n">
        <v>0.1</v>
      </c>
      <c r="I101" s="21" t="n">
        <v>115449.3</v>
      </c>
      <c r="J101" t="inlineStr">
        <is>
          <t>Dec</t>
        </is>
      </c>
      <c r="K101" t="n">
        <v>2025</v>
      </c>
    </row>
    <row r="102">
      <c r="A102" t="inlineStr">
        <is>
          <t>ORD-1101</t>
        </is>
      </c>
      <c r="B102" s="11" t="n">
        <v>46013</v>
      </c>
      <c r="C102" t="inlineStr">
        <is>
          <t>South</t>
        </is>
      </c>
      <c r="D102" t="inlineStr">
        <is>
          <t>Electronics</t>
        </is>
      </c>
      <c r="E102" t="inlineStr">
        <is>
          <t>Smartphone</t>
        </is>
      </c>
      <c r="F102" s="12" t="n">
        <v>3</v>
      </c>
      <c r="G102" s="21" t="n">
        <v>27977.81</v>
      </c>
      <c r="H102" s="13" t="n">
        <v>0</v>
      </c>
      <c r="I102" s="21" t="n">
        <v>83933.42999999999</v>
      </c>
      <c r="J102" t="inlineStr">
        <is>
          <t>Dec</t>
        </is>
      </c>
      <c r="K102" t="n">
        <v>2025</v>
      </c>
    </row>
    <row r="103">
      <c r="A103" t="inlineStr">
        <is>
          <t>ORD-1102</t>
        </is>
      </c>
      <c r="B103" s="11" t="n">
        <v>46017</v>
      </c>
      <c r="C103" t="inlineStr">
        <is>
          <t>Central</t>
        </is>
      </c>
      <c r="D103" t="inlineStr">
        <is>
          <t>Electronics</t>
        </is>
      </c>
      <c r="E103" t="inlineStr">
        <is>
          <t>Smartphone</t>
        </is>
      </c>
      <c r="F103" s="12" t="n">
        <v>2</v>
      </c>
      <c r="G103" s="21" t="n">
        <v>30445.23</v>
      </c>
      <c r="H103" s="13" t="n">
        <v>0.1</v>
      </c>
      <c r="I103" s="21" t="n">
        <v>54801.41</v>
      </c>
      <c r="J103" t="inlineStr">
        <is>
          <t>Dec</t>
        </is>
      </c>
      <c r="K103" t="n">
        <v>2025</v>
      </c>
    </row>
    <row r="104">
      <c r="A104" t="inlineStr">
        <is>
          <t>ORD-1103</t>
        </is>
      </c>
      <c r="B104" s="11" t="n">
        <v>46020</v>
      </c>
      <c r="C104" t="inlineStr">
        <is>
          <t>West</t>
        </is>
      </c>
      <c r="D104" t="inlineStr">
        <is>
          <t>Office Equipment</t>
        </is>
      </c>
      <c r="E104" t="inlineStr">
        <is>
          <t>Printer</t>
        </is>
      </c>
      <c r="F104" s="12" t="n">
        <v>9</v>
      </c>
      <c r="G104" s="21" t="n">
        <v>16402.74</v>
      </c>
      <c r="H104" s="13" t="n">
        <v>0.1</v>
      </c>
      <c r="I104" s="21" t="n">
        <v>132862.19</v>
      </c>
      <c r="J104" t="inlineStr">
        <is>
          <t>Dec</t>
        </is>
      </c>
      <c r="K104" t="n">
        <v>2025</v>
      </c>
    </row>
    <row r="105">
      <c r="A105" t="inlineStr">
        <is>
          <t>ORD-1104</t>
        </is>
      </c>
      <c r="B105" s="11" t="n">
        <v>46024</v>
      </c>
      <c r="C105" t="inlineStr">
        <is>
          <t>South</t>
        </is>
      </c>
      <c r="D105" t="inlineStr">
        <is>
          <t>Electronics</t>
        </is>
      </c>
      <c r="E105" t="inlineStr">
        <is>
          <t>Monitor</t>
        </is>
      </c>
      <c r="F105" s="12" t="n">
        <v>5</v>
      </c>
      <c r="G105" s="21" t="n">
        <v>18246.67</v>
      </c>
      <c r="H105" s="13" t="n">
        <v>0</v>
      </c>
      <c r="I105" s="21" t="n">
        <v>91233.35000000001</v>
      </c>
      <c r="J105" t="inlineStr">
        <is>
          <t>Jan</t>
        </is>
      </c>
      <c r="K105" t="n">
        <v>2026</v>
      </c>
    </row>
    <row r="106">
      <c r="A106" t="inlineStr">
        <is>
          <t>ORD-1105</t>
        </is>
      </c>
      <c r="B106" s="11" t="n">
        <v>46028</v>
      </c>
      <c r="C106" t="inlineStr">
        <is>
          <t>North</t>
        </is>
      </c>
      <c r="D106" t="inlineStr">
        <is>
          <t>Accessories</t>
        </is>
      </c>
      <c r="E106" t="inlineStr">
        <is>
          <t>Headphones</t>
        </is>
      </c>
      <c r="F106" s="12" t="n">
        <v>3</v>
      </c>
      <c r="G106" s="21" t="n">
        <v>3410.41</v>
      </c>
      <c r="H106" s="13" t="n">
        <v>0.08</v>
      </c>
      <c r="I106" s="21" t="n">
        <v>9412.73</v>
      </c>
      <c r="J106" t="inlineStr">
        <is>
          <t>Jan</t>
        </is>
      </c>
      <c r="K106" t="n">
        <v>2026</v>
      </c>
    </row>
    <row r="107">
      <c r="A107" t="inlineStr">
        <is>
          <t>ORD-1106</t>
        </is>
      </c>
      <c r="B107" s="11" t="n">
        <v>46031</v>
      </c>
      <c r="C107" t="inlineStr">
        <is>
          <t>Central</t>
        </is>
      </c>
      <c r="D107" t="inlineStr">
        <is>
          <t>Furniture</t>
        </is>
      </c>
      <c r="E107" t="inlineStr">
        <is>
          <t>Desk</t>
        </is>
      </c>
      <c r="F107" s="12" t="n">
        <v>12</v>
      </c>
      <c r="G107" s="21" t="n">
        <v>12431.63</v>
      </c>
      <c r="H107" s="13" t="n">
        <v>0</v>
      </c>
      <c r="I107" s="21" t="n">
        <v>149179.56</v>
      </c>
      <c r="J107" t="inlineStr">
        <is>
          <t>Jan</t>
        </is>
      </c>
      <c r="K107" t="n">
        <v>2026</v>
      </c>
    </row>
    <row r="108">
      <c r="A108" t="inlineStr">
        <is>
          <t>ORD-1107</t>
        </is>
      </c>
      <c r="B108" s="11" t="n">
        <v>46035</v>
      </c>
      <c r="C108" t="inlineStr">
        <is>
          <t>North</t>
        </is>
      </c>
      <c r="D108" t="inlineStr">
        <is>
          <t>Furniture</t>
        </is>
      </c>
      <c r="E108" t="inlineStr">
        <is>
          <t>Desk</t>
        </is>
      </c>
      <c r="F108" s="12" t="n">
        <v>3</v>
      </c>
      <c r="G108" s="21" t="n">
        <v>11706.55</v>
      </c>
      <c r="H108" s="13" t="n">
        <v>0</v>
      </c>
      <c r="I108" s="21" t="n">
        <v>35119.65</v>
      </c>
      <c r="J108" t="inlineStr">
        <is>
          <t>Jan</t>
        </is>
      </c>
      <c r="K108" t="n">
        <v>2026</v>
      </c>
    </row>
    <row r="109">
      <c r="A109" t="inlineStr">
        <is>
          <t>ORD-1108</t>
        </is>
      </c>
      <c r="B109" s="11" t="n">
        <v>46038</v>
      </c>
      <c r="C109" t="inlineStr">
        <is>
          <t>West</t>
        </is>
      </c>
      <c r="D109" t="inlineStr">
        <is>
          <t>Electronics</t>
        </is>
      </c>
      <c r="E109" t="inlineStr">
        <is>
          <t>Laptop</t>
        </is>
      </c>
      <c r="F109" s="12" t="n">
        <v>9</v>
      </c>
      <c r="G109" s="21" t="n">
        <v>70141.8</v>
      </c>
      <c r="H109" s="13" t="n">
        <v>0.1</v>
      </c>
      <c r="I109" s="21" t="n">
        <v>568148.58</v>
      </c>
      <c r="J109" t="inlineStr">
        <is>
          <t>Jan</t>
        </is>
      </c>
      <c r="K109" t="n">
        <v>2026</v>
      </c>
    </row>
    <row r="110">
      <c r="A110" t="inlineStr">
        <is>
          <t>ORD-1109</t>
        </is>
      </c>
      <c r="B110" s="11" t="n">
        <v>46042</v>
      </c>
      <c r="C110" t="inlineStr">
        <is>
          <t>West</t>
        </is>
      </c>
      <c r="D110" t="inlineStr">
        <is>
          <t>Electronics</t>
        </is>
      </c>
      <c r="E110" t="inlineStr">
        <is>
          <t>Laptop</t>
        </is>
      </c>
      <c r="F110" s="12" t="n">
        <v>12</v>
      </c>
      <c r="G110" s="21" t="n">
        <v>70269.97</v>
      </c>
      <c r="H110" s="13" t="n">
        <v>0.1</v>
      </c>
      <c r="I110" s="21" t="n">
        <v>758915.6800000001</v>
      </c>
      <c r="J110" t="inlineStr">
        <is>
          <t>Jan</t>
        </is>
      </c>
      <c r="K110" t="n">
        <v>2026</v>
      </c>
    </row>
    <row r="111">
      <c r="A111" t="inlineStr">
        <is>
          <t>ORD-1110</t>
        </is>
      </c>
      <c r="B111" s="11" t="n">
        <v>46045</v>
      </c>
      <c r="C111" t="inlineStr">
        <is>
          <t>North</t>
        </is>
      </c>
      <c r="D111" t="inlineStr">
        <is>
          <t>Electronics</t>
        </is>
      </c>
      <c r="E111" t="inlineStr">
        <is>
          <t>Monitor</t>
        </is>
      </c>
      <c r="F111" s="12" t="n">
        <v>7</v>
      </c>
      <c r="G111" s="21" t="n">
        <v>19620.22</v>
      </c>
      <c r="H111" s="13" t="n">
        <v>0.08</v>
      </c>
      <c r="I111" s="21" t="n">
        <v>126354.22</v>
      </c>
      <c r="J111" t="inlineStr">
        <is>
          <t>Jan</t>
        </is>
      </c>
      <c r="K111" t="n">
        <v>2026</v>
      </c>
    </row>
    <row r="112">
      <c r="A112" t="inlineStr">
        <is>
          <t>ORD-1111</t>
        </is>
      </c>
      <c r="B112" s="11" t="n">
        <v>46049</v>
      </c>
      <c r="C112" t="inlineStr">
        <is>
          <t>West</t>
        </is>
      </c>
      <c r="D112" t="inlineStr">
        <is>
          <t>Office Equipment</t>
        </is>
      </c>
      <c r="E112" t="inlineStr">
        <is>
          <t>Printer</t>
        </is>
      </c>
      <c r="F112" s="12" t="n">
        <v>3</v>
      </c>
      <c r="G112" s="21" t="n">
        <v>15395.51</v>
      </c>
      <c r="H112" s="13" t="n">
        <v>0.03</v>
      </c>
      <c r="I112" s="21" t="n">
        <v>44800.93</v>
      </c>
      <c r="J112" t="inlineStr">
        <is>
          <t>Jan</t>
        </is>
      </c>
      <c r="K112" t="n">
        <v>2026</v>
      </c>
    </row>
    <row r="113">
      <c r="A113" t="inlineStr">
        <is>
          <t>ORD-1112</t>
        </is>
      </c>
      <c r="B113" s="11" t="n">
        <v>46053</v>
      </c>
      <c r="C113" t="inlineStr">
        <is>
          <t>Central</t>
        </is>
      </c>
      <c r="D113" t="inlineStr">
        <is>
          <t>Accessories</t>
        </is>
      </c>
      <c r="E113" t="inlineStr">
        <is>
          <t>Keyboard</t>
        </is>
      </c>
      <c r="F113" s="12" t="n">
        <v>3</v>
      </c>
      <c r="G113" s="21" t="n">
        <v>1738.32</v>
      </c>
      <c r="H113" s="13" t="n">
        <v>0.08</v>
      </c>
      <c r="I113" s="21" t="n">
        <v>4797.76</v>
      </c>
      <c r="J113" t="inlineStr">
        <is>
          <t>Jan</t>
        </is>
      </c>
      <c r="K113" t="n">
        <v>2026</v>
      </c>
    </row>
    <row r="114">
      <c r="A114" t="inlineStr">
        <is>
          <t>ORD-1113</t>
        </is>
      </c>
      <c r="B114" s="11" t="n">
        <v>46056</v>
      </c>
      <c r="C114" t="inlineStr">
        <is>
          <t>Central</t>
        </is>
      </c>
      <c r="D114" t="inlineStr">
        <is>
          <t>Accessories</t>
        </is>
      </c>
      <c r="E114" t="inlineStr">
        <is>
          <t>Headphones</t>
        </is>
      </c>
      <c r="F114" s="12" t="n">
        <v>4</v>
      </c>
      <c r="G114" s="21" t="n">
        <v>3704.11</v>
      </c>
      <c r="H114" s="13" t="n">
        <v>0.1</v>
      </c>
      <c r="I114" s="21" t="n">
        <v>13334.8</v>
      </c>
      <c r="J114" t="inlineStr">
        <is>
          <t>Feb</t>
        </is>
      </c>
      <c r="K114" t="n">
        <v>2026</v>
      </c>
    </row>
    <row r="115">
      <c r="A115" t="inlineStr">
        <is>
          <t>ORD-1114</t>
        </is>
      </c>
      <c r="B115" s="11" t="n">
        <v>46060</v>
      </c>
      <c r="C115" t="inlineStr">
        <is>
          <t>Central</t>
        </is>
      </c>
      <c r="D115" t="inlineStr">
        <is>
          <t>Electronics</t>
        </is>
      </c>
      <c r="E115" t="inlineStr">
        <is>
          <t>Laptop</t>
        </is>
      </c>
      <c r="F115" s="12" t="n">
        <v>5</v>
      </c>
      <c r="G115" s="21" t="n">
        <v>71165.23</v>
      </c>
      <c r="H115" s="13" t="n">
        <v>0.03</v>
      </c>
      <c r="I115" s="21" t="n">
        <v>345151.37</v>
      </c>
      <c r="J115" t="inlineStr">
        <is>
          <t>Feb</t>
        </is>
      </c>
      <c r="K115" t="n">
        <v>2026</v>
      </c>
    </row>
    <row r="116">
      <c r="A116" t="inlineStr">
        <is>
          <t>ORD-1115</t>
        </is>
      </c>
      <c r="B116" s="11" t="n">
        <v>46063</v>
      </c>
      <c r="C116" t="inlineStr">
        <is>
          <t>South</t>
        </is>
      </c>
      <c r="D116" t="inlineStr">
        <is>
          <t>Furniture</t>
        </is>
      </c>
      <c r="E116" t="inlineStr">
        <is>
          <t>Office Chair</t>
        </is>
      </c>
      <c r="F116" s="12" t="n">
        <v>5</v>
      </c>
      <c r="G116" s="21" t="n">
        <v>10236.64</v>
      </c>
      <c r="H116" s="13" t="n">
        <v>0.05</v>
      </c>
      <c r="I116" s="21" t="n">
        <v>48624.04</v>
      </c>
      <c r="J116" t="inlineStr">
        <is>
          <t>Feb</t>
        </is>
      </c>
      <c r="K116" t="n">
        <v>2026</v>
      </c>
    </row>
    <row r="117">
      <c r="A117" t="inlineStr">
        <is>
          <t>ORD-1116</t>
        </is>
      </c>
      <c r="B117" s="11" t="n">
        <v>46067</v>
      </c>
      <c r="C117" t="inlineStr">
        <is>
          <t>East</t>
        </is>
      </c>
      <c r="D117" t="inlineStr">
        <is>
          <t>Accessories</t>
        </is>
      </c>
      <c r="E117" t="inlineStr">
        <is>
          <t>Headphones</t>
        </is>
      </c>
      <c r="F117" s="12" t="n">
        <v>2</v>
      </c>
      <c r="G117" s="21" t="n">
        <v>3631.62</v>
      </c>
      <c r="H117" s="13" t="n">
        <v>0.08</v>
      </c>
      <c r="I117" s="21" t="n">
        <v>6682.18</v>
      </c>
      <c r="J117" t="inlineStr">
        <is>
          <t>Feb</t>
        </is>
      </c>
      <c r="K117" t="n">
        <v>2026</v>
      </c>
    </row>
    <row r="118">
      <c r="A118" t="inlineStr">
        <is>
          <t>ORD-1117</t>
        </is>
      </c>
      <c r="B118" s="11" t="n">
        <v>46070</v>
      </c>
      <c r="C118" t="inlineStr">
        <is>
          <t>West</t>
        </is>
      </c>
      <c r="D118" t="inlineStr">
        <is>
          <t>Electronics</t>
        </is>
      </c>
      <c r="E118" t="inlineStr">
        <is>
          <t>Smartphone</t>
        </is>
      </c>
      <c r="F118" s="12" t="n">
        <v>1</v>
      </c>
      <c r="G118" s="21" t="n">
        <v>29895.49</v>
      </c>
      <c r="H118" s="13" t="n">
        <v>0.1</v>
      </c>
      <c r="I118" s="21" t="n">
        <v>26905.94</v>
      </c>
      <c r="J118" t="inlineStr">
        <is>
          <t>Feb</t>
        </is>
      </c>
      <c r="K118" t="n">
        <v>2026</v>
      </c>
    </row>
    <row r="119">
      <c r="A119" t="inlineStr">
        <is>
          <t>ORD-1118</t>
        </is>
      </c>
      <c r="B119" s="11" t="n">
        <v>46074</v>
      </c>
      <c r="C119" t="inlineStr">
        <is>
          <t>Central</t>
        </is>
      </c>
      <c r="D119" t="inlineStr">
        <is>
          <t>Furniture</t>
        </is>
      </c>
      <c r="E119" t="inlineStr">
        <is>
          <t>Office Chair</t>
        </is>
      </c>
      <c r="F119" s="12" t="n">
        <v>8</v>
      </c>
      <c r="G119" s="21" t="n">
        <v>9303.639999999999</v>
      </c>
      <c r="H119" s="13" t="n">
        <v>0.03</v>
      </c>
      <c r="I119" s="21" t="n">
        <v>72196.25</v>
      </c>
      <c r="J119" t="inlineStr">
        <is>
          <t>Feb</t>
        </is>
      </c>
      <c r="K119" t="n">
        <v>2026</v>
      </c>
    </row>
    <row r="120">
      <c r="A120" t="inlineStr">
        <is>
          <t>ORD-1119</t>
        </is>
      </c>
      <c r="B120" s="11" t="n">
        <v>46077</v>
      </c>
      <c r="C120" t="inlineStr">
        <is>
          <t>South</t>
        </is>
      </c>
      <c r="D120" t="inlineStr">
        <is>
          <t>Accessories</t>
        </is>
      </c>
      <c r="E120" t="inlineStr">
        <is>
          <t>Headphones</t>
        </is>
      </c>
      <c r="F120" s="12" t="n">
        <v>2</v>
      </c>
      <c r="G120" s="21" t="n">
        <v>3509.33</v>
      </c>
      <c r="H120" s="13" t="n">
        <v>0.1</v>
      </c>
      <c r="I120" s="21" t="n">
        <v>6316.79</v>
      </c>
      <c r="J120" t="inlineStr">
        <is>
          <t>Feb</t>
        </is>
      </c>
      <c r="K120" t="n">
        <v>2026</v>
      </c>
    </row>
    <row r="121">
      <c r="A121" t="inlineStr">
        <is>
          <t>ORD-1120</t>
        </is>
      </c>
      <c r="B121" s="11" t="n">
        <v>46081</v>
      </c>
      <c r="C121" t="inlineStr">
        <is>
          <t>East</t>
        </is>
      </c>
      <c r="D121" t="inlineStr">
        <is>
          <t>Furniture</t>
        </is>
      </c>
      <c r="E121" t="inlineStr">
        <is>
          <t>Office Chair</t>
        </is>
      </c>
      <c r="F121" s="12" t="n">
        <v>8</v>
      </c>
      <c r="G121" s="21" t="n">
        <v>9254.219999999999</v>
      </c>
      <c r="H121" s="13" t="n">
        <v>0.1</v>
      </c>
      <c r="I121" s="21" t="n">
        <v>66630.38</v>
      </c>
      <c r="J121" t="inlineStr">
        <is>
          <t>Feb</t>
        </is>
      </c>
      <c r="K121" t="n">
        <v>2026</v>
      </c>
    </row>
    <row r="122">
      <c r="A122" t="inlineStr">
        <is>
          <t>ORD-1121</t>
        </is>
      </c>
      <c r="B122" s="11" t="n">
        <v>46085</v>
      </c>
      <c r="C122" t="inlineStr">
        <is>
          <t>North</t>
        </is>
      </c>
      <c r="D122" t="inlineStr">
        <is>
          <t>Electronics</t>
        </is>
      </c>
      <c r="E122" t="inlineStr">
        <is>
          <t>Monitor</t>
        </is>
      </c>
      <c r="F122" s="12" t="n">
        <v>15</v>
      </c>
      <c r="G122" s="21" t="n">
        <v>18330.8</v>
      </c>
      <c r="H122" s="13" t="n">
        <v>0</v>
      </c>
      <c r="I122" s="21" t="n">
        <v>274962</v>
      </c>
      <c r="J122" t="inlineStr">
        <is>
          <t>Mar</t>
        </is>
      </c>
      <c r="K122" t="n">
        <v>2026</v>
      </c>
    </row>
    <row r="123">
      <c r="A123" t="inlineStr">
        <is>
          <t>ORD-1122</t>
        </is>
      </c>
      <c r="B123" s="11" t="n">
        <v>46088</v>
      </c>
      <c r="C123" t="inlineStr">
        <is>
          <t>West</t>
        </is>
      </c>
      <c r="D123" t="inlineStr">
        <is>
          <t>Electronics</t>
        </is>
      </c>
      <c r="E123" t="inlineStr">
        <is>
          <t>Monitor</t>
        </is>
      </c>
      <c r="F123" s="12" t="n">
        <v>15</v>
      </c>
      <c r="G123" s="21" t="n">
        <v>18997.73</v>
      </c>
      <c r="H123" s="13" t="n">
        <v>0.05</v>
      </c>
      <c r="I123" s="21" t="n">
        <v>270717.65</v>
      </c>
      <c r="J123" t="inlineStr">
        <is>
          <t>Mar</t>
        </is>
      </c>
      <c r="K123" t="n">
        <v>2026</v>
      </c>
    </row>
    <row r="124">
      <c r="A124" t="inlineStr">
        <is>
          <t>ORD-1123</t>
        </is>
      </c>
      <c r="B124" s="11" t="n">
        <v>46092</v>
      </c>
      <c r="C124" t="inlineStr">
        <is>
          <t>East</t>
        </is>
      </c>
      <c r="D124" t="inlineStr">
        <is>
          <t>Furniture</t>
        </is>
      </c>
      <c r="E124" t="inlineStr">
        <is>
          <t>Office Chair</t>
        </is>
      </c>
      <c r="F124" s="12" t="n">
        <v>10</v>
      </c>
      <c r="G124" s="21" t="n">
        <v>9177.48</v>
      </c>
      <c r="H124" s="13" t="n">
        <v>0.03</v>
      </c>
      <c r="I124" s="21" t="n">
        <v>89021.56</v>
      </c>
      <c r="J124" t="inlineStr">
        <is>
          <t>Mar</t>
        </is>
      </c>
      <c r="K124" t="n">
        <v>2026</v>
      </c>
    </row>
    <row r="125">
      <c r="A125" t="inlineStr">
        <is>
          <t>ORD-1124</t>
        </is>
      </c>
      <c r="B125" s="11" t="n">
        <v>46095</v>
      </c>
      <c r="C125" t="inlineStr">
        <is>
          <t>East</t>
        </is>
      </c>
      <c r="D125" t="inlineStr">
        <is>
          <t>Furniture</t>
        </is>
      </c>
      <c r="E125" t="inlineStr">
        <is>
          <t>Office Chair</t>
        </is>
      </c>
      <c r="F125" s="12" t="n">
        <v>13</v>
      </c>
      <c r="G125" s="21" t="n">
        <v>9319.879999999999</v>
      </c>
      <c r="H125" s="13" t="n">
        <v>0.1</v>
      </c>
      <c r="I125" s="21" t="n">
        <v>109042.6</v>
      </c>
      <c r="J125" t="inlineStr">
        <is>
          <t>Mar</t>
        </is>
      </c>
      <c r="K125" t="n">
        <v>2026</v>
      </c>
    </row>
    <row r="126">
      <c r="A126" t="inlineStr">
        <is>
          <t>ORD-1125</t>
        </is>
      </c>
      <c r="B126" s="11" t="n">
        <v>46099</v>
      </c>
      <c r="C126" t="inlineStr">
        <is>
          <t>South</t>
        </is>
      </c>
      <c r="D126" t="inlineStr">
        <is>
          <t>Furniture</t>
        </is>
      </c>
      <c r="E126" t="inlineStr">
        <is>
          <t>Office Chair</t>
        </is>
      </c>
      <c r="F126" s="12" t="n">
        <v>4</v>
      </c>
      <c r="G126" s="21" t="n">
        <v>10007.67</v>
      </c>
      <c r="H126" s="13" t="n">
        <v>0.08</v>
      </c>
      <c r="I126" s="21" t="n">
        <v>36828.23</v>
      </c>
      <c r="J126" t="inlineStr">
        <is>
          <t>Mar</t>
        </is>
      </c>
      <c r="K126" t="n">
        <v>2026</v>
      </c>
    </row>
    <row r="127">
      <c r="A127" t="inlineStr">
        <is>
          <t>ORD-1126</t>
        </is>
      </c>
      <c r="B127" s="11" t="n">
        <v>46102</v>
      </c>
      <c r="C127" t="inlineStr">
        <is>
          <t>North</t>
        </is>
      </c>
      <c r="D127" t="inlineStr">
        <is>
          <t>Furniture</t>
        </is>
      </c>
      <c r="E127" t="inlineStr">
        <is>
          <t>Desk</t>
        </is>
      </c>
      <c r="F127" s="12" t="n">
        <v>7</v>
      </c>
      <c r="G127" s="21" t="n">
        <v>12434.49</v>
      </c>
      <c r="H127" s="13" t="n">
        <v>0</v>
      </c>
      <c r="I127" s="21" t="n">
        <v>87041.42999999999</v>
      </c>
      <c r="J127" t="inlineStr">
        <is>
          <t>Mar</t>
        </is>
      </c>
      <c r="K127" t="n">
        <v>2026</v>
      </c>
    </row>
    <row r="128">
      <c r="A128" t="inlineStr">
        <is>
          <t>ORD-1127</t>
        </is>
      </c>
      <c r="B128" s="11" t="n">
        <v>46106</v>
      </c>
      <c r="C128" t="inlineStr">
        <is>
          <t>North</t>
        </is>
      </c>
      <c r="D128" t="inlineStr">
        <is>
          <t>Electronics</t>
        </is>
      </c>
      <c r="E128" t="inlineStr">
        <is>
          <t>Monitor</t>
        </is>
      </c>
      <c r="F128" s="12" t="n">
        <v>15</v>
      </c>
      <c r="G128" s="21" t="n">
        <v>17228.56</v>
      </c>
      <c r="H128" s="13" t="n">
        <v>0.08</v>
      </c>
      <c r="I128" s="21" t="n">
        <v>237754.13</v>
      </c>
      <c r="J128" t="inlineStr">
        <is>
          <t>Mar</t>
        </is>
      </c>
      <c r="K128" t="n">
        <v>2026</v>
      </c>
    </row>
    <row r="129">
      <c r="A129" t="inlineStr">
        <is>
          <t>ORD-1128</t>
        </is>
      </c>
      <c r="B129" s="11" t="n">
        <v>46109</v>
      </c>
      <c r="C129" t="inlineStr">
        <is>
          <t>North</t>
        </is>
      </c>
      <c r="D129" t="inlineStr">
        <is>
          <t>Office Equipment</t>
        </is>
      </c>
      <c r="E129" t="inlineStr">
        <is>
          <t>Printer</t>
        </is>
      </c>
      <c r="F129" s="12" t="n">
        <v>6</v>
      </c>
      <c r="G129" s="21" t="n">
        <v>16389.67</v>
      </c>
      <c r="H129" s="13" t="n">
        <v>0.1</v>
      </c>
      <c r="I129" s="21" t="n">
        <v>88504.22</v>
      </c>
      <c r="J129" t="inlineStr">
        <is>
          <t>Mar</t>
        </is>
      </c>
      <c r="K129" t="n">
        <v>2026</v>
      </c>
    </row>
    <row r="130">
      <c r="A130" t="inlineStr">
        <is>
          <t>ORD-1129</t>
        </is>
      </c>
      <c r="B130" s="11" t="n">
        <v>46113</v>
      </c>
      <c r="C130" t="inlineStr">
        <is>
          <t>Central</t>
        </is>
      </c>
      <c r="D130" t="inlineStr">
        <is>
          <t>Electronics</t>
        </is>
      </c>
      <c r="E130" t="inlineStr">
        <is>
          <t>Monitor</t>
        </is>
      </c>
      <c r="F130" s="12" t="n">
        <v>13</v>
      </c>
      <c r="G130" s="21" t="n">
        <v>17361.67</v>
      </c>
      <c r="H130" s="13" t="n">
        <v>0.1</v>
      </c>
      <c r="I130" s="21" t="n">
        <v>203131.54</v>
      </c>
      <c r="J130" t="inlineStr">
        <is>
          <t>Apr</t>
        </is>
      </c>
      <c r="K130" t="n">
        <v>2026</v>
      </c>
    </row>
    <row r="131">
      <c r="A131" t="inlineStr">
        <is>
          <t>ORD-1130</t>
        </is>
      </c>
      <c r="B131" s="11" t="n">
        <v>46117</v>
      </c>
      <c r="C131" t="inlineStr">
        <is>
          <t>Central</t>
        </is>
      </c>
      <c r="D131" t="inlineStr">
        <is>
          <t>Office Equipment</t>
        </is>
      </c>
      <c r="E131" t="inlineStr">
        <is>
          <t>Printer</t>
        </is>
      </c>
      <c r="F131" s="12" t="n">
        <v>11</v>
      </c>
      <c r="G131" s="21" t="n">
        <v>13721.39</v>
      </c>
      <c r="H131" s="13" t="n">
        <v>0.08</v>
      </c>
      <c r="I131" s="21" t="n">
        <v>138860.47</v>
      </c>
      <c r="J131" t="inlineStr">
        <is>
          <t>Apr</t>
        </is>
      </c>
      <c r="K131" t="n">
        <v>2026</v>
      </c>
    </row>
    <row r="132">
      <c r="A132" t="inlineStr">
        <is>
          <t>ORD-1131</t>
        </is>
      </c>
      <c r="B132" s="11" t="n">
        <v>46120</v>
      </c>
      <c r="C132" t="inlineStr">
        <is>
          <t>East</t>
        </is>
      </c>
      <c r="D132" t="inlineStr">
        <is>
          <t>Accessories</t>
        </is>
      </c>
      <c r="E132" t="inlineStr">
        <is>
          <t>Headphones</t>
        </is>
      </c>
      <c r="F132" s="12" t="n">
        <v>4</v>
      </c>
      <c r="G132" s="21" t="n">
        <v>3516.17</v>
      </c>
      <c r="H132" s="13" t="n">
        <v>0</v>
      </c>
      <c r="I132" s="21" t="n">
        <v>14064.68</v>
      </c>
      <c r="J132" t="inlineStr">
        <is>
          <t>Apr</t>
        </is>
      </c>
      <c r="K132" t="n">
        <v>2026</v>
      </c>
    </row>
    <row r="133">
      <c r="A133" t="inlineStr">
        <is>
          <t>ORD-1132</t>
        </is>
      </c>
      <c r="B133" s="11" t="n">
        <v>46124</v>
      </c>
      <c r="C133" t="inlineStr">
        <is>
          <t>North</t>
        </is>
      </c>
      <c r="D133" t="inlineStr">
        <is>
          <t>Electronics</t>
        </is>
      </c>
      <c r="E133" t="inlineStr">
        <is>
          <t>Laptop</t>
        </is>
      </c>
      <c r="F133" s="12" t="n">
        <v>14</v>
      </c>
      <c r="G133" s="21" t="n">
        <v>66658.25999999999</v>
      </c>
      <c r="H133" s="13" t="n">
        <v>0</v>
      </c>
      <c r="I133" s="21" t="n">
        <v>933215.64</v>
      </c>
      <c r="J133" t="inlineStr">
        <is>
          <t>Apr</t>
        </is>
      </c>
      <c r="K133" t="n">
        <v>2026</v>
      </c>
    </row>
    <row r="134">
      <c r="A134" t="inlineStr">
        <is>
          <t>ORD-1133</t>
        </is>
      </c>
      <c r="B134" s="11" t="n">
        <v>46127</v>
      </c>
      <c r="C134" t="inlineStr">
        <is>
          <t>East</t>
        </is>
      </c>
      <c r="D134" t="inlineStr">
        <is>
          <t>Furniture</t>
        </is>
      </c>
      <c r="E134" t="inlineStr">
        <is>
          <t>Office Chair</t>
        </is>
      </c>
      <c r="F134" s="12" t="n">
        <v>7</v>
      </c>
      <c r="G134" s="21" t="n">
        <v>10288.98</v>
      </c>
      <c r="H134" s="13" t="n">
        <v>0</v>
      </c>
      <c r="I134" s="21" t="n">
        <v>72022.86</v>
      </c>
      <c r="J134" t="inlineStr">
        <is>
          <t>Apr</t>
        </is>
      </c>
      <c r="K134" t="n">
        <v>2026</v>
      </c>
    </row>
    <row r="135">
      <c r="A135" t="inlineStr">
        <is>
          <t>ORD-1134</t>
        </is>
      </c>
      <c r="B135" s="11" t="n">
        <v>46131</v>
      </c>
      <c r="C135" t="inlineStr">
        <is>
          <t>West</t>
        </is>
      </c>
      <c r="D135" t="inlineStr">
        <is>
          <t>Electronics</t>
        </is>
      </c>
      <c r="E135" t="inlineStr">
        <is>
          <t>Smartphone</t>
        </is>
      </c>
      <c r="F135" s="12" t="n">
        <v>8</v>
      </c>
      <c r="G135" s="21" t="n">
        <v>27079.7</v>
      </c>
      <c r="H135" s="13" t="n">
        <v>0.08</v>
      </c>
      <c r="I135" s="21" t="n">
        <v>199306.59</v>
      </c>
      <c r="J135" t="inlineStr">
        <is>
          <t>Apr</t>
        </is>
      </c>
      <c r="K135" t="n">
        <v>2026</v>
      </c>
    </row>
    <row r="136">
      <c r="A136" t="inlineStr">
        <is>
          <t>ORD-1135</t>
        </is>
      </c>
      <c r="B136" s="11" t="n">
        <v>46134</v>
      </c>
      <c r="C136" t="inlineStr">
        <is>
          <t>West</t>
        </is>
      </c>
      <c r="D136" t="inlineStr">
        <is>
          <t>Electronics</t>
        </is>
      </c>
      <c r="E136" t="inlineStr">
        <is>
          <t>Smartphone</t>
        </is>
      </c>
      <c r="F136" s="12" t="n">
        <v>4</v>
      </c>
      <c r="G136" s="21" t="n">
        <v>27374.3</v>
      </c>
      <c r="H136" s="13" t="n">
        <v>0.03</v>
      </c>
      <c r="I136" s="21" t="n">
        <v>106212.28</v>
      </c>
      <c r="J136" t="inlineStr">
        <is>
          <t>Apr</t>
        </is>
      </c>
      <c r="K136" t="n">
        <v>2026</v>
      </c>
    </row>
    <row r="137">
      <c r="A137" t="inlineStr">
        <is>
          <t>ORD-1136</t>
        </is>
      </c>
      <c r="B137" s="11" t="n">
        <v>46138</v>
      </c>
      <c r="C137" t="inlineStr">
        <is>
          <t>South</t>
        </is>
      </c>
      <c r="D137" t="inlineStr">
        <is>
          <t>Electronics</t>
        </is>
      </c>
      <c r="E137" t="inlineStr">
        <is>
          <t>Monitor</t>
        </is>
      </c>
      <c r="F137" s="12" t="n">
        <v>12</v>
      </c>
      <c r="G137" s="21" t="n">
        <v>17497.24</v>
      </c>
      <c r="H137" s="13" t="n">
        <v>0.08</v>
      </c>
      <c r="I137" s="21" t="n">
        <v>193169.53</v>
      </c>
      <c r="J137" t="inlineStr">
        <is>
          <t>Apr</t>
        </is>
      </c>
      <c r="K137" t="n">
        <v>2026</v>
      </c>
    </row>
    <row r="138">
      <c r="A138" t="inlineStr">
        <is>
          <t>ORD-1137</t>
        </is>
      </c>
      <c r="B138" s="11" t="n">
        <v>46141</v>
      </c>
      <c r="C138" t="inlineStr">
        <is>
          <t>East</t>
        </is>
      </c>
      <c r="D138" t="inlineStr">
        <is>
          <t>Electronics</t>
        </is>
      </c>
      <c r="E138" t="inlineStr">
        <is>
          <t>Monitor</t>
        </is>
      </c>
      <c r="F138" s="12" t="n">
        <v>6</v>
      </c>
      <c r="G138" s="21" t="n">
        <v>17207.15</v>
      </c>
      <c r="H138" s="13" t="n">
        <v>0</v>
      </c>
      <c r="I138" s="21" t="n">
        <v>103242.9</v>
      </c>
      <c r="J138" t="inlineStr">
        <is>
          <t>Apr</t>
        </is>
      </c>
      <c r="K138" t="n">
        <v>2026</v>
      </c>
    </row>
    <row r="139">
      <c r="A139" t="inlineStr">
        <is>
          <t>ORD-1138</t>
        </is>
      </c>
      <c r="B139" s="11" t="n">
        <v>46145</v>
      </c>
      <c r="C139" t="inlineStr">
        <is>
          <t>West</t>
        </is>
      </c>
      <c r="D139" t="inlineStr">
        <is>
          <t>Accessories</t>
        </is>
      </c>
      <c r="E139" t="inlineStr">
        <is>
          <t>Keyboard</t>
        </is>
      </c>
      <c r="F139" s="12" t="n">
        <v>13</v>
      </c>
      <c r="G139" s="21" t="n">
        <v>1717.54</v>
      </c>
      <c r="H139" s="13" t="n">
        <v>0.08</v>
      </c>
      <c r="I139" s="21" t="n">
        <v>20541.78</v>
      </c>
      <c r="J139" t="inlineStr">
        <is>
          <t>May</t>
        </is>
      </c>
      <c r="K139" t="n">
        <v>2026</v>
      </c>
    </row>
    <row r="140">
      <c r="A140" t="inlineStr">
        <is>
          <t>ORD-1139</t>
        </is>
      </c>
      <c r="B140" s="11" t="n">
        <v>46149</v>
      </c>
      <c r="C140" t="inlineStr">
        <is>
          <t>East</t>
        </is>
      </c>
      <c r="D140" t="inlineStr">
        <is>
          <t>Accessories</t>
        </is>
      </c>
      <c r="E140" t="inlineStr">
        <is>
          <t>Keyboard</t>
        </is>
      </c>
      <c r="F140" s="12" t="n">
        <v>13</v>
      </c>
      <c r="G140" s="21" t="n">
        <v>1769.99</v>
      </c>
      <c r="H140" s="13" t="n">
        <v>0.03</v>
      </c>
      <c r="I140" s="21" t="n">
        <v>22319.57</v>
      </c>
      <c r="J140" t="inlineStr">
        <is>
          <t>May</t>
        </is>
      </c>
      <c r="K140" t="n">
        <v>2026</v>
      </c>
    </row>
    <row r="141">
      <c r="A141" t="inlineStr">
        <is>
          <t>ORD-1140</t>
        </is>
      </c>
      <c r="B141" s="11" t="n">
        <v>46152</v>
      </c>
      <c r="C141" t="inlineStr">
        <is>
          <t>North</t>
        </is>
      </c>
      <c r="D141" t="inlineStr">
        <is>
          <t>Accessories</t>
        </is>
      </c>
      <c r="E141" t="inlineStr">
        <is>
          <t>Keyboard</t>
        </is>
      </c>
      <c r="F141" s="12" t="n">
        <v>2</v>
      </c>
      <c r="G141" s="21" t="n">
        <v>1955.78</v>
      </c>
      <c r="H141" s="13" t="n">
        <v>0.03</v>
      </c>
      <c r="I141" s="21" t="n">
        <v>3794.21</v>
      </c>
      <c r="J141" t="inlineStr">
        <is>
          <t>May</t>
        </is>
      </c>
      <c r="K141" t="n">
        <v>2026</v>
      </c>
    </row>
    <row r="142">
      <c r="A142" t="inlineStr">
        <is>
          <t>ORD-1141</t>
        </is>
      </c>
      <c r="B142" s="11" t="n">
        <v>46156</v>
      </c>
      <c r="C142" t="inlineStr">
        <is>
          <t>East</t>
        </is>
      </c>
      <c r="D142" t="inlineStr">
        <is>
          <t>Electronics</t>
        </is>
      </c>
      <c r="E142" t="inlineStr">
        <is>
          <t>Smartphone</t>
        </is>
      </c>
      <c r="F142" s="12" t="n">
        <v>13</v>
      </c>
      <c r="G142" s="21" t="n">
        <v>25347.66</v>
      </c>
      <c r="H142" s="13" t="n">
        <v>0.1</v>
      </c>
      <c r="I142" s="21" t="n">
        <v>296567.62</v>
      </c>
      <c r="J142" t="inlineStr">
        <is>
          <t>May</t>
        </is>
      </c>
      <c r="K142" t="n">
        <v>2026</v>
      </c>
    </row>
    <row r="143">
      <c r="A143" t="inlineStr">
        <is>
          <t>ORD-1142</t>
        </is>
      </c>
      <c r="B143" s="11" t="n">
        <v>46159</v>
      </c>
      <c r="C143" t="inlineStr">
        <is>
          <t>North</t>
        </is>
      </c>
      <c r="D143" t="inlineStr">
        <is>
          <t>Electronics</t>
        </is>
      </c>
      <c r="E143" t="inlineStr">
        <is>
          <t>Laptop</t>
        </is>
      </c>
      <c r="F143" s="12" t="n">
        <v>2</v>
      </c>
      <c r="G143" s="21" t="n">
        <v>63397.61</v>
      </c>
      <c r="H143" s="13" t="n">
        <v>0</v>
      </c>
      <c r="I143" s="21" t="n">
        <v>126795.22</v>
      </c>
      <c r="J143" t="inlineStr">
        <is>
          <t>May</t>
        </is>
      </c>
      <c r="K143" t="n">
        <v>2026</v>
      </c>
    </row>
    <row r="144">
      <c r="A144" t="inlineStr">
        <is>
          <t>ORD-1143</t>
        </is>
      </c>
      <c r="B144" s="11" t="n">
        <v>46163</v>
      </c>
      <c r="C144" t="inlineStr">
        <is>
          <t>North</t>
        </is>
      </c>
      <c r="D144" t="inlineStr">
        <is>
          <t>Electronics</t>
        </is>
      </c>
      <c r="E144" t="inlineStr">
        <is>
          <t>Smartphone</t>
        </is>
      </c>
      <c r="F144" s="12" t="n">
        <v>6</v>
      </c>
      <c r="G144" s="21" t="n">
        <v>29915.87</v>
      </c>
      <c r="H144" s="13" t="n">
        <v>0.05</v>
      </c>
      <c r="I144" s="21" t="n">
        <v>170520.46</v>
      </c>
      <c r="J144" t="inlineStr">
        <is>
          <t>May</t>
        </is>
      </c>
      <c r="K144" t="n">
        <v>2026</v>
      </c>
    </row>
    <row r="145">
      <c r="A145" t="inlineStr">
        <is>
          <t>ORD-1144</t>
        </is>
      </c>
      <c r="B145" s="11" t="n">
        <v>46166</v>
      </c>
      <c r="C145" t="inlineStr">
        <is>
          <t>North</t>
        </is>
      </c>
      <c r="D145" t="inlineStr">
        <is>
          <t>Accessories</t>
        </is>
      </c>
      <c r="E145" t="inlineStr">
        <is>
          <t>Keyboard</t>
        </is>
      </c>
      <c r="F145" s="12" t="n">
        <v>2</v>
      </c>
      <c r="G145" s="21" t="n">
        <v>1769.34</v>
      </c>
      <c r="H145" s="13" t="n">
        <v>0</v>
      </c>
      <c r="I145" s="21" t="n">
        <v>3538.68</v>
      </c>
      <c r="J145" t="inlineStr">
        <is>
          <t>May</t>
        </is>
      </c>
      <c r="K145" t="n">
        <v>2026</v>
      </c>
    </row>
    <row r="146">
      <c r="A146" t="inlineStr">
        <is>
          <t>ORD-1145</t>
        </is>
      </c>
      <c r="B146" s="11" t="n">
        <v>46170</v>
      </c>
      <c r="C146" t="inlineStr">
        <is>
          <t>Central</t>
        </is>
      </c>
      <c r="D146" t="inlineStr">
        <is>
          <t>Electronics</t>
        </is>
      </c>
      <c r="E146" t="inlineStr">
        <is>
          <t>Laptop</t>
        </is>
      </c>
      <c r="F146" s="12" t="n">
        <v>7</v>
      </c>
      <c r="G146" s="21" t="n">
        <v>69067.71000000001</v>
      </c>
      <c r="H146" s="13" t="n">
        <v>0.08</v>
      </c>
      <c r="I146" s="21" t="n">
        <v>444796.05</v>
      </c>
      <c r="J146" t="inlineStr">
        <is>
          <t>May</t>
        </is>
      </c>
      <c r="K146" t="n">
        <v>2026</v>
      </c>
    </row>
    <row r="147">
      <c r="A147" t="inlineStr">
        <is>
          <t>ORD-1146</t>
        </is>
      </c>
      <c r="B147" s="11" t="n">
        <v>46174</v>
      </c>
      <c r="C147" t="inlineStr">
        <is>
          <t>Central</t>
        </is>
      </c>
      <c r="D147" t="inlineStr">
        <is>
          <t>Furniture</t>
        </is>
      </c>
      <c r="E147" t="inlineStr">
        <is>
          <t>Desk</t>
        </is>
      </c>
      <c r="F147" s="12" t="n">
        <v>6</v>
      </c>
      <c r="G147" s="21" t="n">
        <v>12133.04</v>
      </c>
      <c r="H147" s="13" t="n">
        <v>0.05</v>
      </c>
      <c r="I147" s="21" t="n">
        <v>69158.33</v>
      </c>
      <c r="J147" t="inlineStr">
        <is>
          <t>Jun</t>
        </is>
      </c>
      <c r="K147" t="n">
        <v>2026</v>
      </c>
    </row>
    <row r="148">
      <c r="A148" t="inlineStr">
        <is>
          <t>ORD-1147</t>
        </is>
      </c>
      <c r="B148" s="11" t="n">
        <v>46177</v>
      </c>
      <c r="C148" t="inlineStr">
        <is>
          <t>Central</t>
        </is>
      </c>
      <c r="D148" t="inlineStr">
        <is>
          <t>Accessories</t>
        </is>
      </c>
      <c r="E148" t="inlineStr">
        <is>
          <t>Keyboard</t>
        </is>
      </c>
      <c r="F148" s="12" t="n">
        <v>5</v>
      </c>
      <c r="G148" s="21" t="n">
        <v>1925.87</v>
      </c>
      <c r="H148" s="13" t="n">
        <v>0.03</v>
      </c>
      <c r="I148" s="21" t="n">
        <v>9340.469999999999</v>
      </c>
      <c r="J148" t="inlineStr">
        <is>
          <t>Jun</t>
        </is>
      </c>
      <c r="K148" t="n">
        <v>2026</v>
      </c>
    </row>
    <row r="149">
      <c r="A149" t="inlineStr">
        <is>
          <t>ORD-1148</t>
        </is>
      </c>
      <c r="B149" s="11" t="n">
        <v>46181</v>
      </c>
      <c r="C149" t="inlineStr">
        <is>
          <t>Central</t>
        </is>
      </c>
      <c r="D149" t="inlineStr">
        <is>
          <t>Electronics</t>
        </is>
      </c>
      <c r="E149" t="inlineStr">
        <is>
          <t>Laptop</t>
        </is>
      </c>
      <c r="F149" s="12" t="n">
        <v>14</v>
      </c>
      <c r="G149" s="21" t="n">
        <v>60179.07</v>
      </c>
      <c r="H149" s="13" t="n">
        <v>0</v>
      </c>
      <c r="I149" s="21" t="n">
        <v>842506.98</v>
      </c>
      <c r="J149" t="inlineStr">
        <is>
          <t>Jun</t>
        </is>
      </c>
      <c r="K149" t="n">
        <v>2026</v>
      </c>
    </row>
    <row r="150">
      <c r="A150" t="inlineStr">
        <is>
          <t>ORD-1149</t>
        </is>
      </c>
      <c r="B150" s="11" t="n">
        <v>46184</v>
      </c>
      <c r="C150" t="inlineStr">
        <is>
          <t>Central</t>
        </is>
      </c>
      <c r="D150" t="inlineStr">
        <is>
          <t>Accessories</t>
        </is>
      </c>
      <c r="E150" t="inlineStr">
        <is>
          <t>Headphones</t>
        </is>
      </c>
      <c r="F150" s="12" t="n">
        <v>13</v>
      </c>
      <c r="G150" s="21" t="n">
        <v>3310.05</v>
      </c>
      <c r="H150" s="13" t="n">
        <v>0.08</v>
      </c>
      <c r="I150" s="21" t="n">
        <v>39588.2</v>
      </c>
      <c r="J150" t="inlineStr">
        <is>
          <t>Jun</t>
        </is>
      </c>
      <c r="K150" t="n">
        <v>2026</v>
      </c>
    </row>
    <row r="151">
      <c r="A151" t="inlineStr">
        <is>
          <t>ORD-1150</t>
        </is>
      </c>
      <c r="B151" s="11" t="n">
        <v>46188</v>
      </c>
      <c r="C151" t="inlineStr">
        <is>
          <t>South</t>
        </is>
      </c>
      <c r="D151" t="inlineStr">
        <is>
          <t>Electronics</t>
        </is>
      </c>
      <c r="E151" t="inlineStr">
        <is>
          <t>Laptop</t>
        </is>
      </c>
      <c r="F151" s="12" t="n">
        <v>12</v>
      </c>
      <c r="G151" s="21" t="n">
        <v>64976.15</v>
      </c>
      <c r="H151" s="13" t="n">
        <v>0.03</v>
      </c>
      <c r="I151" s="21" t="n">
        <v>756322.39</v>
      </c>
      <c r="J151" t="inlineStr">
        <is>
          <t>Jun</t>
        </is>
      </c>
      <c r="K151" t="n">
        <v>2026</v>
      </c>
    </row>
    <row r="152">
      <c r="A152" t="inlineStr">
        <is>
          <t>ORD-1151</t>
        </is>
      </c>
      <c r="B152" s="11" t="n">
        <v>46191</v>
      </c>
      <c r="C152" t="inlineStr">
        <is>
          <t>East</t>
        </is>
      </c>
      <c r="D152" t="inlineStr">
        <is>
          <t>Furniture</t>
        </is>
      </c>
      <c r="E152" t="inlineStr">
        <is>
          <t>Office Chair</t>
        </is>
      </c>
      <c r="F152" s="12" t="n">
        <v>11</v>
      </c>
      <c r="G152" s="21" t="n">
        <v>10169.14</v>
      </c>
      <c r="H152" s="13" t="n">
        <v>0.03</v>
      </c>
      <c r="I152" s="21" t="n">
        <v>108504.72</v>
      </c>
      <c r="J152" t="inlineStr">
        <is>
          <t>Jun</t>
        </is>
      </c>
      <c r="K152" t="n">
        <v>2026</v>
      </c>
    </row>
    <row r="153">
      <c r="A153" t="inlineStr">
        <is>
          <t>ORD-1152</t>
        </is>
      </c>
      <c r="B153" s="11" t="n">
        <v>46195</v>
      </c>
      <c r="C153" t="inlineStr">
        <is>
          <t>West</t>
        </is>
      </c>
      <c r="D153" t="inlineStr">
        <is>
          <t>Furniture</t>
        </is>
      </c>
      <c r="E153" t="inlineStr">
        <is>
          <t>Office Chair</t>
        </is>
      </c>
      <c r="F153" s="12" t="n">
        <v>5</v>
      </c>
      <c r="G153" s="21" t="n">
        <v>9316.620000000001</v>
      </c>
      <c r="H153" s="13" t="n">
        <v>0.05</v>
      </c>
      <c r="I153" s="21" t="n">
        <v>44253.95</v>
      </c>
      <c r="J153" t="inlineStr">
        <is>
          <t>Jun</t>
        </is>
      </c>
      <c r="K153" t="n">
        <v>2026</v>
      </c>
    </row>
    <row r="154">
      <c r="A154" t="inlineStr">
        <is>
          <t>ORD-1153</t>
        </is>
      </c>
      <c r="B154" s="11" t="n">
        <v>46198</v>
      </c>
      <c r="C154" t="inlineStr">
        <is>
          <t>Central</t>
        </is>
      </c>
      <c r="D154" t="inlineStr">
        <is>
          <t>Office Equipment</t>
        </is>
      </c>
      <c r="E154" t="inlineStr">
        <is>
          <t>Printer</t>
        </is>
      </c>
      <c r="F154" s="12" t="n">
        <v>5</v>
      </c>
      <c r="G154" s="21" t="n">
        <v>15915.13</v>
      </c>
      <c r="H154" s="13" t="n">
        <v>0.03</v>
      </c>
      <c r="I154" s="21" t="n">
        <v>77188.38</v>
      </c>
      <c r="J154" t="inlineStr">
        <is>
          <t>Jun</t>
        </is>
      </c>
      <c r="K154" t="n">
        <v>2026</v>
      </c>
    </row>
    <row r="155">
      <c r="A155" t="inlineStr">
        <is>
          <t>ORD-1154</t>
        </is>
      </c>
      <c r="B155" s="11" t="n">
        <v>46202</v>
      </c>
      <c r="C155" t="inlineStr">
        <is>
          <t>West</t>
        </is>
      </c>
      <c r="D155" t="inlineStr">
        <is>
          <t>Furniture</t>
        </is>
      </c>
      <c r="E155" t="inlineStr">
        <is>
          <t>Desk</t>
        </is>
      </c>
      <c r="F155" s="12" t="n">
        <v>2</v>
      </c>
      <c r="G155" s="21" t="n">
        <v>12215.8</v>
      </c>
      <c r="H155" s="13" t="n">
        <v>0.03</v>
      </c>
      <c r="I155" s="21" t="n">
        <v>23698.65</v>
      </c>
      <c r="J155" t="inlineStr">
        <is>
          <t>Jun</t>
        </is>
      </c>
      <c r="K155" t="n">
        <v>2026</v>
      </c>
    </row>
    <row r="156">
      <c r="A156" t="inlineStr">
        <is>
          <t>ORD-1155</t>
        </is>
      </c>
      <c r="B156" s="11" t="n">
        <v>46206</v>
      </c>
      <c r="C156" t="inlineStr">
        <is>
          <t>East</t>
        </is>
      </c>
      <c r="D156" t="inlineStr">
        <is>
          <t>Furniture</t>
        </is>
      </c>
      <c r="E156" t="inlineStr">
        <is>
          <t>Office Chair</t>
        </is>
      </c>
      <c r="F156" s="12" t="n">
        <v>3</v>
      </c>
      <c r="G156" s="21" t="n">
        <v>9211.690000000001</v>
      </c>
      <c r="H156" s="13" t="n">
        <v>0.03</v>
      </c>
      <c r="I156" s="21" t="n">
        <v>26806.02</v>
      </c>
      <c r="J156" t="inlineStr">
        <is>
          <t>Jul</t>
        </is>
      </c>
      <c r="K156" t="n">
        <v>2026</v>
      </c>
    </row>
    <row r="157">
      <c r="A157" t="inlineStr">
        <is>
          <t>ORD-1156</t>
        </is>
      </c>
      <c r="B157" s="11" t="n">
        <v>46209</v>
      </c>
      <c r="C157" t="inlineStr">
        <is>
          <t>North</t>
        </is>
      </c>
      <c r="D157" t="inlineStr">
        <is>
          <t>Furniture</t>
        </is>
      </c>
      <c r="E157" t="inlineStr">
        <is>
          <t>Office Chair</t>
        </is>
      </c>
      <c r="F157" s="12" t="n">
        <v>8</v>
      </c>
      <c r="G157" s="21" t="n">
        <v>9116.120000000001</v>
      </c>
      <c r="H157" s="13" t="n">
        <v>0.08</v>
      </c>
      <c r="I157" s="21" t="n">
        <v>67094.64</v>
      </c>
      <c r="J157" t="inlineStr">
        <is>
          <t>Jul</t>
        </is>
      </c>
      <c r="K157" t="n">
        <v>2026</v>
      </c>
    </row>
    <row r="158">
      <c r="A158" t="inlineStr">
        <is>
          <t>ORD-1157</t>
        </is>
      </c>
      <c r="B158" s="11" t="n">
        <v>46213</v>
      </c>
      <c r="C158" t="inlineStr">
        <is>
          <t>East</t>
        </is>
      </c>
      <c r="D158" t="inlineStr">
        <is>
          <t>Electronics</t>
        </is>
      </c>
      <c r="E158" t="inlineStr">
        <is>
          <t>Smartphone</t>
        </is>
      </c>
      <c r="F158" s="12" t="n">
        <v>1</v>
      </c>
      <c r="G158" s="21" t="n">
        <v>29660.24</v>
      </c>
      <c r="H158" s="13" t="n">
        <v>0.1</v>
      </c>
      <c r="I158" s="21" t="n">
        <v>26694.22</v>
      </c>
      <c r="J158" t="inlineStr">
        <is>
          <t>Jul</t>
        </is>
      </c>
      <c r="K158" t="n">
        <v>2026</v>
      </c>
    </row>
    <row r="159">
      <c r="A159" t="inlineStr">
        <is>
          <t>ORD-1158</t>
        </is>
      </c>
      <c r="B159" s="11" t="n">
        <v>46216</v>
      </c>
      <c r="C159" t="inlineStr">
        <is>
          <t>North</t>
        </is>
      </c>
      <c r="D159" t="inlineStr">
        <is>
          <t>Electronics</t>
        </is>
      </c>
      <c r="E159" t="inlineStr">
        <is>
          <t>Smartphone</t>
        </is>
      </c>
      <c r="F159" s="12" t="n">
        <v>10</v>
      </c>
      <c r="G159" s="21" t="n">
        <v>26646.17</v>
      </c>
      <c r="H159" s="13" t="n">
        <v>0</v>
      </c>
      <c r="I159" s="21" t="n">
        <v>266461.7</v>
      </c>
      <c r="J159" t="inlineStr">
        <is>
          <t>Jul</t>
        </is>
      </c>
      <c r="K159" t="n">
        <v>2026</v>
      </c>
    </row>
    <row r="160">
      <c r="A160" t="inlineStr">
        <is>
          <t>ORD-1159</t>
        </is>
      </c>
      <c r="B160" s="11" t="n">
        <v>46220</v>
      </c>
      <c r="C160" t="inlineStr">
        <is>
          <t>Central</t>
        </is>
      </c>
      <c r="D160" t="inlineStr">
        <is>
          <t>Office Equipment</t>
        </is>
      </c>
      <c r="E160" t="inlineStr">
        <is>
          <t>Printer</t>
        </is>
      </c>
      <c r="F160" s="12" t="n">
        <v>2</v>
      </c>
      <c r="G160" s="21" t="n">
        <v>14542.24</v>
      </c>
      <c r="H160" s="13" t="n">
        <v>0.1</v>
      </c>
      <c r="I160" s="21" t="n">
        <v>26176.03</v>
      </c>
      <c r="J160" t="inlineStr">
        <is>
          <t>Jul</t>
        </is>
      </c>
      <c r="K160" t="n">
        <v>2026</v>
      </c>
    </row>
    <row r="161">
      <c r="A161" t="inlineStr">
        <is>
          <t>ORD-1160</t>
        </is>
      </c>
      <c r="B161" s="11" t="n">
        <v>46223</v>
      </c>
      <c r="C161" t="inlineStr">
        <is>
          <t>East</t>
        </is>
      </c>
      <c r="D161" t="inlineStr">
        <is>
          <t>Furniture</t>
        </is>
      </c>
      <c r="E161" t="inlineStr">
        <is>
          <t>Office Chair</t>
        </is>
      </c>
      <c r="F161" s="12" t="n">
        <v>11</v>
      </c>
      <c r="G161" s="21" t="n">
        <v>8694.139999999999</v>
      </c>
      <c r="H161" s="13" t="n">
        <v>0.05</v>
      </c>
      <c r="I161" s="21" t="n">
        <v>90853.75999999999</v>
      </c>
      <c r="J161" t="inlineStr">
        <is>
          <t>Jul</t>
        </is>
      </c>
      <c r="K161" t="n">
        <v>2026</v>
      </c>
    </row>
    <row r="162">
      <c r="A162" t="inlineStr">
        <is>
          <t>ORD-1161</t>
        </is>
      </c>
      <c r="B162" s="11" t="n">
        <v>46227</v>
      </c>
      <c r="C162" t="inlineStr">
        <is>
          <t>East</t>
        </is>
      </c>
      <c r="D162" t="inlineStr">
        <is>
          <t>Electronics</t>
        </is>
      </c>
      <c r="E162" t="inlineStr">
        <is>
          <t>Laptop</t>
        </is>
      </c>
      <c r="F162" s="12" t="n">
        <v>6</v>
      </c>
      <c r="G162" s="21" t="n">
        <v>60864.44</v>
      </c>
      <c r="H162" s="13" t="n">
        <v>0.08</v>
      </c>
      <c r="I162" s="21" t="n">
        <v>335971.71</v>
      </c>
      <c r="J162" t="inlineStr">
        <is>
          <t>Jul</t>
        </is>
      </c>
      <c r="K162" t="n">
        <v>2026</v>
      </c>
    </row>
    <row r="163">
      <c r="A163" t="inlineStr">
        <is>
          <t>ORD-1162</t>
        </is>
      </c>
      <c r="B163" s="11" t="n">
        <v>46230</v>
      </c>
      <c r="C163" t="inlineStr">
        <is>
          <t>North</t>
        </is>
      </c>
      <c r="D163" t="inlineStr">
        <is>
          <t>Office Equipment</t>
        </is>
      </c>
      <c r="E163" t="inlineStr">
        <is>
          <t>Printer</t>
        </is>
      </c>
      <c r="F163" s="12" t="n">
        <v>3</v>
      </c>
      <c r="G163" s="21" t="n">
        <v>15045.71</v>
      </c>
      <c r="H163" s="13" t="n">
        <v>0.05</v>
      </c>
      <c r="I163" s="21" t="n">
        <v>42880.27</v>
      </c>
      <c r="J163" t="inlineStr">
        <is>
          <t>Jul</t>
        </is>
      </c>
      <c r="K163" t="n">
        <v>2026</v>
      </c>
    </row>
    <row r="164">
      <c r="A164" t="inlineStr">
        <is>
          <t>ORD-1163</t>
        </is>
      </c>
      <c r="B164" s="11" t="n">
        <v>46234</v>
      </c>
      <c r="C164" t="inlineStr">
        <is>
          <t>South</t>
        </is>
      </c>
      <c r="D164" t="inlineStr">
        <is>
          <t>Office Equipment</t>
        </is>
      </c>
      <c r="E164" t="inlineStr">
        <is>
          <t>Printer</t>
        </is>
      </c>
      <c r="F164" s="12" t="n">
        <v>13</v>
      </c>
      <c r="G164" s="21" t="n">
        <v>14171.55</v>
      </c>
      <c r="H164" s="13" t="n">
        <v>0.03</v>
      </c>
      <c r="I164" s="21" t="n">
        <v>178703.25</v>
      </c>
      <c r="J164" t="inlineStr">
        <is>
          <t>Jul</t>
        </is>
      </c>
      <c r="K164" t="n">
        <v>2026</v>
      </c>
    </row>
    <row r="165">
      <c r="A165" t="inlineStr">
        <is>
          <t>ORD-1164</t>
        </is>
      </c>
      <c r="B165" s="11" t="n">
        <v>46238</v>
      </c>
      <c r="C165" t="inlineStr">
        <is>
          <t>Central</t>
        </is>
      </c>
      <c r="D165" t="inlineStr">
        <is>
          <t>Accessories</t>
        </is>
      </c>
      <c r="E165" t="inlineStr">
        <is>
          <t>Keyboard</t>
        </is>
      </c>
      <c r="F165" s="12" t="n">
        <v>2</v>
      </c>
      <c r="G165" s="21" t="n">
        <v>1745.14</v>
      </c>
      <c r="H165" s="13" t="n">
        <v>0.08</v>
      </c>
      <c r="I165" s="21" t="n">
        <v>3211.06</v>
      </c>
      <c r="J165" t="inlineStr">
        <is>
          <t>Aug</t>
        </is>
      </c>
      <c r="K165" t="n">
        <v>2026</v>
      </c>
    </row>
    <row r="166">
      <c r="A166" t="inlineStr">
        <is>
          <t>ORD-1165</t>
        </is>
      </c>
      <c r="B166" s="11" t="n">
        <v>46241</v>
      </c>
      <c r="C166" t="inlineStr">
        <is>
          <t>Central</t>
        </is>
      </c>
      <c r="D166" t="inlineStr">
        <is>
          <t>Furniture</t>
        </is>
      </c>
      <c r="E166" t="inlineStr">
        <is>
          <t>Office Chair</t>
        </is>
      </c>
      <c r="F166" s="12" t="n">
        <v>6</v>
      </c>
      <c r="G166" s="21" t="n">
        <v>9565.4</v>
      </c>
      <c r="H166" s="13" t="n">
        <v>0</v>
      </c>
      <c r="I166" s="21" t="n">
        <v>57392.4</v>
      </c>
      <c r="J166" t="inlineStr">
        <is>
          <t>Aug</t>
        </is>
      </c>
      <c r="K166" t="n">
        <v>2026</v>
      </c>
    </row>
    <row r="167">
      <c r="A167" t="inlineStr">
        <is>
          <t>ORD-1166</t>
        </is>
      </c>
      <c r="B167" s="11" t="n">
        <v>46245</v>
      </c>
      <c r="C167" t="inlineStr">
        <is>
          <t>South</t>
        </is>
      </c>
      <c r="D167" t="inlineStr">
        <is>
          <t>Electronics</t>
        </is>
      </c>
      <c r="E167" t="inlineStr">
        <is>
          <t>Monitor</t>
        </is>
      </c>
      <c r="F167" s="12" t="n">
        <v>14</v>
      </c>
      <c r="G167" s="21" t="n">
        <v>16663.49</v>
      </c>
      <c r="H167" s="13" t="n">
        <v>0.03</v>
      </c>
      <c r="I167" s="21" t="n">
        <v>226290.19</v>
      </c>
      <c r="J167" t="inlineStr">
        <is>
          <t>Aug</t>
        </is>
      </c>
      <c r="K167" t="n">
        <v>2026</v>
      </c>
    </row>
    <row r="168">
      <c r="A168" t="inlineStr">
        <is>
          <t>ORD-1167</t>
        </is>
      </c>
      <c r="B168" s="11" t="n">
        <v>46248</v>
      </c>
      <c r="C168" t="inlineStr">
        <is>
          <t>Central</t>
        </is>
      </c>
      <c r="D168" t="inlineStr">
        <is>
          <t>Electronics</t>
        </is>
      </c>
      <c r="E168" t="inlineStr">
        <is>
          <t>Smartphone</t>
        </is>
      </c>
      <c r="F168" s="12" t="n">
        <v>11</v>
      </c>
      <c r="G168" s="21" t="n">
        <v>25716.83</v>
      </c>
      <c r="H168" s="13" t="n">
        <v>0</v>
      </c>
      <c r="I168" s="21" t="n">
        <v>282885.13</v>
      </c>
      <c r="J168" t="inlineStr">
        <is>
          <t>Aug</t>
        </is>
      </c>
      <c r="K168" t="n">
        <v>2026</v>
      </c>
    </row>
    <row r="169">
      <c r="A169" t="inlineStr">
        <is>
          <t>ORD-1168</t>
        </is>
      </c>
      <c r="B169" s="11" t="n">
        <v>46252</v>
      </c>
      <c r="C169" t="inlineStr">
        <is>
          <t>North</t>
        </is>
      </c>
      <c r="D169" t="inlineStr">
        <is>
          <t>Furniture</t>
        </is>
      </c>
      <c r="E169" t="inlineStr">
        <is>
          <t>Desk</t>
        </is>
      </c>
      <c r="F169" s="12" t="n">
        <v>6</v>
      </c>
      <c r="G169" s="21" t="n">
        <v>13010.09</v>
      </c>
      <c r="H169" s="13" t="n">
        <v>0.05</v>
      </c>
      <c r="I169" s="21" t="n">
        <v>74157.50999999999</v>
      </c>
      <c r="J169" t="inlineStr">
        <is>
          <t>Aug</t>
        </is>
      </c>
      <c r="K169" t="n">
        <v>2026</v>
      </c>
    </row>
    <row r="170">
      <c r="A170" t="inlineStr">
        <is>
          <t>ORD-1169</t>
        </is>
      </c>
      <c r="B170" s="11" t="n">
        <v>46255</v>
      </c>
      <c r="C170" t="inlineStr">
        <is>
          <t>North</t>
        </is>
      </c>
      <c r="D170" t="inlineStr">
        <is>
          <t>Accessories</t>
        </is>
      </c>
      <c r="E170" t="inlineStr">
        <is>
          <t>Keyboard</t>
        </is>
      </c>
      <c r="F170" s="12" t="n">
        <v>10</v>
      </c>
      <c r="G170" s="21" t="n">
        <v>1910.23</v>
      </c>
      <c r="H170" s="13" t="n">
        <v>0.08</v>
      </c>
      <c r="I170" s="21" t="n">
        <v>17574.12</v>
      </c>
      <c r="J170" t="inlineStr">
        <is>
          <t>Aug</t>
        </is>
      </c>
      <c r="K170" t="n">
        <v>2026</v>
      </c>
    </row>
    <row r="171">
      <c r="A171" t="inlineStr">
        <is>
          <t>ORD-1170</t>
        </is>
      </c>
      <c r="B171" s="11" t="n">
        <v>46259</v>
      </c>
      <c r="C171" t="inlineStr">
        <is>
          <t>East</t>
        </is>
      </c>
      <c r="D171" t="inlineStr">
        <is>
          <t>Electronics</t>
        </is>
      </c>
      <c r="E171" t="inlineStr">
        <is>
          <t>Laptop</t>
        </is>
      </c>
      <c r="F171" s="12" t="n">
        <v>13</v>
      </c>
      <c r="G171" s="21" t="n">
        <v>61221.54</v>
      </c>
      <c r="H171" s="13" t="n">
        <v>0.08</v>
      </c>
      <c r="I171" s="21" t="n">
        <v>732209.62</v>
      </c>
      <c r="J171" t="inlineStr">
        <is>
          <t>Aug</t>
        </is>
      </c>
      <c r="K171" t="n">
        <v>2026</v>
      </c>
    </row>
    <row r="172">
      <c r="A172" t="inlineStr">
        <is>
          <t>ORD-1171</t>
        </is>
      </c>
      <c r="B172" s="11" t="n">
        <v>46262</v>
      </c>
      <c r="C172" t="inlineStr">
        <is>
          <t>South</t>
        </is>
      </c>
      <c r="D172" t="inlineStr">
        <is>
          <t>Furniture</t>
        </is>
      </c>
      <c r="E172" t="inlineStr">
        <is>
          <t>Desk</t>
        </is>
      </c>
      <c r="F172" s="12" t="n">
        <v>12</v>
      </c>
      <c r="G172" s="21" t="n">
        <v>12593.93</v>
      </c>
      <c r="H172" s="13" t="n">
        <v>0.03</v>
      </c>
      <c r="I172" s="21" t="n">
        <v>146593.35</v>
      </c>
      <c r="J172" t="inlineStr">
        <is>
          <t>Aug</t>
        </is>
      </c>
      <c r="K172" t="n">
        <v>2026</v>
      </c>
    </row>
    <row r="173">
      <c r="A173" t="inlineStr">
        <is>
          <t>ORD-1172</t>
        </is>
      </c>
      <c r="B173" s="11" t="n">
        <v>46266</v>
      </c>
      <c r="C173" t="inlineStr">
        <is>
          <t>East</t>
        </is>
      </c>
      <c r="D173" t="inlineStr">
        <is>
          <t>Furniture</t>
        </is>
      </c>
      <c r="E173" t="inlineStr">
        <is>
          <t>Office Chair</t>
        </is>
      </c>
      <c r="F173" s="12" t="n">
        <v>8</v>
      </c>
      <c r="G173" s="21" t="n">
        <v>9905.360000000001</v>
      </c>
      <c r="H173" s="13" t="n">
        <v>0.05</v>
      </c>
      <c r="I173" s="21" t="n">
        <v>75280.74000000001</v>
      </c>
      <c r="J173" t="inlineStr">
        <is>
          <t>Sep</t>
        </is>
      </c>
      <c r="K173" t="n">
        <v>2026</v>
      </c>
    </row>
    <row r="174">
      <c r="A174" t="inlineStr">
        <is>
          <t>ORD-1173</t>
        </is>
      </c>
      <c r="B174" s="11" t="n">
        <v>46270</v>
      </c>
      <c r="C174" t="inlineStr">
        <is>
          <t>East</t>
        </is>
      </c>
      <c r="D174" t="inlineStr">
        <is>
          <t>Furniture</t>
        </is>
      </c>
      <c r="E174" t="inlineStr">
        <is>
          <t>Desk</t>
        </is>
      </c>
      <c r="F174" s="12" t="n">
        <v>15</v>
      </c>
      <c r="G174" s="21" t="n">
        <v>11057.21</v>
      </c>
      <c r="H174" s="13" t="n">
        <v>0.08</v>
      </c>
      <c r="I174" s="21" t="n">
        <v>152589.5</v>
      </c>
      <c r="J174" t="inlineStr">
        <is>
          <t>Sep</t>
        </is>
      </c>
      <c r="K174" t="n">
        <v>2026</v>
      </c>
    </row>
    <row r="175">
      <c r="A175" t="inlineStr">
        <is>
          <t>ORD-1174</t>
        </is>
      </c>
      <c r="B175" s="11" t="n">
        <v>46273</v>
      </c>
      <c r="C175" t="inlineStr">
        <is>
          <t>East</t>
        </is>
      </c>
      <c r="D175" t="inlineStr">
        <is>
          <t>Electronics</t>
        </is>
      </c>
      <c r="E175" t="inlineStr">
        <is>
          <t>Smartphone</t>
        </is>
      </c>
      <c r="F175" s="12" t="n">
        <v>3</v>
      </c>
      <c r="G175" s="21" t="n">
        <v>29329.47</v>
      </c>
      <c r="H175" s="13" t="n">
        <v>0</v>
      </c>
      <c r="I175" s="21" t="n">
        <v>87988.41</v>
      </c>
      <c r="J175" t="inlineStr">
        <is>
          <t>Sep</t>
        </is>
      </c>
      <c r="K175" t="n">
        <v>2026</v>
      </c>
    </row>
    <row r="176">
      <c r="A176" t="inlineStr">
        <is>
          <t>ORD-1175</t>
        </is>
      </c>
      <c r="B176" s="11" t="n">
        <v>46277</v>
      </c>
      <c r="C176" t="inlineStr">
        <is>
          <t>South</t>
        </is>
      </c>
      <c r="D176" t="inlineStr">
        <is>
          <t>Electronics</t>
        </is>
      </c>
      <c r="E176" t="inlineStr">
        <is>
          <t>Monitor</t>
        </is>
      </c>
      <c r="F176" s="12" t="n">
        <v>7</v>
      </c>
      <c r="G176" s="21" t="n">
        <v>19226.56</v>
      </c>
      <c r="H176" s="13" t="n">
        <v>0</v>
      </c>
      <c r="I176" s="21" t="n">
        <v>134585.92</v>
      </c>
      <c r="J176" t="inlineStr">
        <is>
          <t>Sep</t>
        </is>
      </c>
      <c r="K176" t="n">
        <v>2026</v>
      </c>
    </row>
    <row r="177">
      <c r="A177" t="inlineStr">
        <is>
          <t>ORD-1176</t>
        </is>
      </c>
      <c r="B177" s="11" t="n">
        <v>46280</v>
      </c>
      <c r="C177" t="inlineStr">
        <is>
          <t>South</t>
        </is>
      </c>
      <c r="D177" t="inlineStr">
        <is>
          <t>Furniture</t>
        </is>
      </c>
      <c r="E177" t="inlineStr">
        <is>
          <t>Office Chair</t>
        </is>
      </c>
      <c r="F177" s="12" t="n">
        <v>14</v>
      </c>
      <c r="G177" s="21" t="n">
        <v>8993.110000000001</v>
      </c>
      <c r="H177" s="13" t="n">
        <v>0.08</v>
      </c>
      <c r="I177" s="21" t="n">
        <v>115831.26</v>
      </c>
      <c r="J177" t="inlineStr">
        <is>
          <t>Sep</t>
        </is>
      </c>
      <c r="K177" t="n">
        <v>2026</v>
      </c>
    </row>
    <row r="178">
      <c r="A178" t="inlineStr">
        <is>
          <t>ORD-1177</t>
        </is>
      </c>
      <c r="B178" s="11" t="n">
        <v>46284</v>
      </c>
      <c r="C178" t="inlineStr">
        <is>
          <t>West</t>
        </is>
      </c>
      <c r="D178" t="inlineStr">
        <is>
          <t>Accessories</t>
        </is>
      </c>
      <c r="E178" t="inlineStr">
        <is>
          <t>Keyboard</t>
        </is>
      </c>
      <c r="F178" s="12" t="n">
        <v>9</v>
      </c>
      <c r="G178" s="21" t="n">
        <v>1747.84</v>
      </c>
      <c r="H178" s="13" t="n">
        <v>0.08</v>
      </c>
      <c r="I178" s="21" t="n">
        <v>14472.12</v>
      </c>
      <c r="J178" t="inlineStr">
        <is>
          <t>Sep</t>
        </is>
      </c>
      <c r="K178" t="n">
        <v>2026</v>
      </c>
    </row>
    <row r="179">
      <c r="A179" t="inlineStr">
        <is>
          <t>ORD-1178</t>
        </is>
      </c>
      <c r="B179" s="11" t="n">
        <v>46287</v>
      </c>
      <c r="C179" t="inlineStr">
        <is>
          <t>Central</t>
        </is>
      </c>
      <c r="D179" t="inlineStr">
        <is>
          <t>Electronics</t>
        </is>
      </c>
      <c r="E179" t="inlineStr">
        <is>
          <t>Laptop</t>
        </is>
      </c>
      <c r="F179" s="12" t="n">
        <v>2</v>
      </c>
      <c r="G179" s="21" t="n">
        <v>65482.39</v>
      </c>
      <c r="H179" s="13" t="n">
        <v>0.08</v>
      </c>
      <c r="I179" s="21" t="n">
        <v>120487.6</v>
      </c>
      <c r="J179" t="inlineStr">
        <is>
          <t>Sep</t>
        </is>
      </c>
      <c r="K179" t="n">
        <v>2026</v>
      </c>
    </row>
    <row r="180">
      <c r="A180" t="inlineStr">
        <is>
          <t>ORD-1179</t>
        </is>
      </c>
      <c r="B180" s="11" t="n">
        <v>46291</v>
      </c>
      <c r="C180" t="inlineStr">
        <is>
          <t>North</t>
        </is>
      </c>
      <c r="D180" t="inlineStr">
        <is>
          <t>Electronics</t>
        </is>
      </c>
      <c r="E180" t="inlineStr">
        <is>
          <t>Smartphone</t>
        </is>
      </c>
      <c r="F180" s="12" t="n">
        <v>12</v>
      </c>
      <c r="G180" s="21" t="n">
        <v>27321.13</v>
      </c>
      <c r="H180" s="13" t="n">
        <v>0.05</v>
      </c>
      <c r="I180" s="21" t="n">
        <v>311460.88</v>
      </c>
      <c r="J180" t="inlineStr">
        <is>
          <t>Sep</t>
        </is>
      </c>
      <c r="K180" t="n">
        <v>2026</v>
      </c>
    </row>
    <row r="181">
      <c r="A181" t="inlineStr">
        <is>
          <t>ORD-1180</t>
        </is>
      </c>
      <c r="B181" s="11" t="n">
        <v>46295</v>
      </c>
      <c r="C181" t="inlineStr">
        <is>
          <t>West</t>
        </is>
      </c>
      <c r="D181" t="inlineStr">
        <is>
          <t>Accessories</t>
        </is>
      </c>
      <c r="E181" t="inlineStr">
        <is>
          <t>Keyboard</t>
        </is>
      </c>
      <c r="F181" s="12" t="n">
        <v>10</v>
      </c>
      <c r="G181" s="21" t="n">
        <v>1707.97</v>
      </c>
      <c r="H181" s="13" t="n">
        <v>0.03</v>
      </c>
      <c r="I181" s="21" t="n">
        <v>16567.31</v>
      </c>
      <c r="J181" t="inlineStr">
        <is>
          <t>Sep</t>
        </is>
      </c>
      <c r="K181" t="n">
        <v>2026</v>
      </c>
    </row>
  </sheetData>
  <autoFilter ref="A1:K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4" t="inlineStr">
        <is>
          <t>SALES &amp; REVENUE ANALYSIS — ANALYSIS</t>
        </is>
      </c>
    </row>
    <row r="3">
      <c r="A3" s="15" t="inlineStr">
        <is>
          <t>DATA QUALITY CHECKS</t>
        </is>
      </c>
      <c r="E3" s="16" t="inlineStr">
        <is>
          <t>FILTER LISTS</t>
        </is>
      </c>
    </row>
    <row r="4">
      <c r="A4" t="inlineStr">
        <is>
          <t>Rows</t>
        </is>
      </c>
      <c r="B4" t="n">
        <v>180</v>
      </c>
      <c r="E4" t="inlineStr">
        <is>
          <t>Region</t>
        </is>
      </c>
      <c r="F4" t="inlineStr">
        <is>
          <t>Category</t>
        </is>
      </c>
      <c r="G4" t="inlineStr">
        <is>
          <t>Year</t>
        </is>
      </c>
    </row>
    <row r="5">
      <c r="A5" t="inlineStr">
        <is>
          <t>Columns</t>
        </is>
      </c>
      <c r="B5" t="n">
        <v>11</v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</row>
    <row r="6">
      <c r="A6" t="inlineStr">
        <is>
          <t>Missing values</t>
        </is>
      </c>
      <c r="B6" t="n">
        <v>0</v>
      </c>
      <c r="E6" t="inlineStr">
        <is>
          <t>Central</t>
        </is>
      </c>
      <c r="F6" t="inlineStr">
        <is>
          <t>Accessories</t>
        </is>
      </c>
      <c r="G6" t="inlineStr">
        <is>
          <t>2025</t>
        </is>
      </c>
    </row>
    <row r="7">
      <c r="A7" t="inlineStr">
        <is>
          <t>Duplicate Order IDs</t>
        </is>
      </c>
      <c r="B7" t="n">
        <v>0</v>
      </c>
      <c r="E7" t="inlineStr">
        <is>
          <t>East</t>
        </is>
      </c>
      <c r="F7" t="inlineStr">
        <is>
          <t>Electronics</t>
        </is>
      </c>
      <c r="G7" t="inlineStr">
        <is>
          <t>2026</t>
        </is>
      </c>
    </row>
    <row r="8">
      <c r="A8" t="inlineStr">
        <is>
          <t>Invalid/missing dates</t>
        </is>
      </c>
      <c r="B8" t="n">
        <v>0</v>
      </c>
      <c r="E8" t="inlineStr">
        <is>
          <t>North</t>
        </is>
      </c>
      <c r="F8" t="inlineStr">
        <is>
          <t>Furniture</t>
        </is>
      </c>
    </row>
    <row r="9">
      <c r="A9" t="inlineStr">
        <is>
          <t>Negative Units Sold</t>
        </is>
      </c>
      <c r="B9" t="n">
        <v>0</v>
      </c>
      <c r="E9" t="inlineStr">
        <is>
          <t>South</t>
        </is>
      </c>
      <c r="F9" t="inlineStr">
        <is>
          <t>Office Equipment</t>
        </is>
      </c>
    </row>
    <row r="10">
      <c r="A10" t="inlineStr">
        <is>
          <t>Non-positive Unit Price</t>
        </is>
      </c>
      <c r="B10" t="n">
        <v>0</v>
      </c>
      <c r="E10" t="inlineStr">
        <is>
          <t>West</t>
        </is>
      </c>
    </row>
    <row r="11">
      <c r="A11" t="inlineStr">
        <is>
          <t>Discount outside 0–100%</t>
        </is>
      </c>
      <c r="B11" t="n">
        <v>0</v>
      </c>
    </row>
    <row r="12">
      <c r="A12" t="inlineStr">
        <is>
          <t>Negative Revenue</t>
        </is>
      </c>
      <c r="B12" t="n">
        <v>0</v>
      </c>
    </row>
    <row r="13">
      <c r="A13" t="inlineStr">
        <is>
          <t>Revenue formula differences &gt; ₹0.05</t>
        </is>
      </c>
      <c r="B13" t="n">
        <v>0</v>
      </c>
    </row>
    <row r="16">
      <c r="A16" s="17" t="inlineStr">
        <is>
          <t>KPI / SUMMARY METRICS</t>
        </is>
      </c>
    </row>
    <row r="17">
      <c r="A17" t="inlineStr">
        <is>
          <t>Total Revenue</t>
        </is>
      </c>
      <c r="B17" s="21" t="n">
        <v>25099726.33</v>
      </c>
    </row>
    <row r="18">
      <c r="A18" t="inlineStr">
        <is>
          <t>Total Units Sold</t>
        </is>
      </c>
      <c r="B18" s="12" t="n">
        <v>1437</v>
      </c>
    </row>
    <row r="19">
      <c r="A19" t="inlineStr">
        <is>
          <t>Total Orders</t>
        </is>
      </c>
      <c r="B19" s="12" t="n">
        <v>180</v>
      </c>
    </row>
    <row r="20">
      <c r="A20" t="inlineStr">
        <is>
          <t>Average Revenue</t>
        </is>
      </c>
      <c r="B20" s="21" t="n">
        <v>139442.9240555555</v>
      </c>
    </row>
    <row r="27">
      <c r="A27" s="18" t="inlineStr">
        <is>
          <t>Revenue by Region</t>
        </is>
      </c>
    </row>
    <row r="28">
      <c r="A28" s="16" t="inlineStr">
        <is>
          <t>Item</t>
        </is>
      </c>
      <c r="B28" s="16" t="inlineStr">
        <is>
          <t>Revenue</t>
        </is>
      </c>
    </row>
    <row r="29">
      <c r="A29" t="inlineStr">
        <is>
          <t>West</t>
        </is>
      </c>
      <c r="B29" s="21" t="n">
        <v>5925793.15</v>
      </c>
    </row>
    <row r="30">
      <c r="A30" t="inlineStr">
        <is>
          <t>North</t>
        </is>
      </c>
      <c r="B30" s="21" t="n">
        <v>5525115.57</v>
      </c>
    </row>
    <row r="31">
      <c r="A31" t="inlineStr">
        <is>
          <t>East</t>
        </is>
      </c>
      <c r="B31" s="21" t="n">
        <v>5258667.38</v>
      </c>
    </row>
    <row r="32">
      <c r="A32" t="inlineStr">
        <is>
          <t>Central</t>
        </is>
      </c>
      <c r="B32" s="21" t="n">
        <v>5095300.03</v>
      </c>
    </row>
    <row r="33">
      <c r="A33" t="inlineStr">
        <is>
          <t>South</t>
        </is>
      </c>
      <c r="B33" s="21" t="n">
        <v>3294850.2</v>
      </c>
    </row>
    <row r="36">
      <c r="A36" s="18" t="inlineStr">
        <is>
          <t>Revenue by Category</t>
        </is>
      </c>
    </row>
    <row r="37">
      <c r="A37" s="16" t="inlineStr">
        <is>
          <t>Item</t>
        </is>
      </c>
      <c r="B37" s="16" t="inlineStr">
        <is>
          <t>Revenue</t>
        </is>
      </c>
    </row>
    <row r="38">
      <c r="A38" t="inlineStr">
        <is>
          <t>Electronics</t>
        </is>
      </c>
      <c r="B38" s="21" t="n">
        <v>18560168.61</v>
      </c>
    </row>
    <row r="39">
      <c r="A39" t="inlineStr">
        <is>
          <t>Furniture</t>
        </is>
      </c>
      <c r="B39" s="21" t="n">
        <v>3848878.97</v>
      </c>
    </row>
    <row r="40">
      <c r="A40" t="inlineStr">
        <is>
          <t>Office Equipment</t>
        </is>
      </c>
      <c r="B40" s="21" t="n">
        <v>1989693.98</v>
      </c>
    </row>
    <row r="41">
      <c r="A41" t="inlineStr">
        <is>
          <t>Accessories</t>
        </is>
      </c>
      <c r="B41" s="21" t="n">
        <v>700984.77</v>
      </c>
    </row>
    <row r="44">
      <c r="A44" s="18" t="inlineStr">
        <is>
          <t>Revenue by Product</t>
        </is>
      </c>
    </row>
    <row r="45">
      <c r="A45" s="16" t="inlineStr">
        <is>
          <t>Item</t>
        </is>
      </c>
      <c r="B45" s="16" t="inlineStr">
        <is>
          <t>Revenue</t>
        </is>
      </c>
    </row>
    <row r="46">
      <c r="A46" t="inlineStr">
        <is>
          <t>Laptop</t>
        </is>
      </c>
      <c r="B46" s="21" t="n">
        <v>9136020.16</v>
      </c>
    </row>
    <row r="47">
      <c r="A47" t="inlineStr">
        <is>
          <t>Smartphone</t>
        </is>
      </c>
      <c r="B47" s="21" t="n">
        <v>6101282.41</v>
      </c>
    </row>
    <row r="48">
      <c r="A48" t="inlineStr">
        <is>
          <t>Monitor</t>
        </is>
      </c>
      <c r="B48" s="21" t="n">
        <v>3322866.04</v>
      </c>
    </row>
    <row r="49">
      <c r="A49" t="inlineStr">
        <is>
          <t>Desk</t>
        </is>
      </c>
      <c r="B49" s="21" t="n">
        <v>2084935.28</v>
      </c>
    </row>
    <row r="50">
      <c r="A50" t="inlineStr">
        <is>
          <t>Printer</t>
        </is>
      </c>
      <c r="B50" s="21" t="n">
        <v>1989693.98</v>
      </c>
    </row>
    <row r="51">
      <c r="A51" t="inlineStr">
        <is>
          <t>Office Chair</t>
        </is>
      </c>
      <c r="B51" s="21" t="n">
        <v>1763943.69</v>
      </c>
    </row>
    <row r="52">
      <c r="A52" t="inlineStr">
        <is>
          <t>Keyboard</t>
        </is>
      </c>
      <c r="B52" s="21" t="n">
        <v>432748.35</v>
      </c>
    </row>
    <row r="53">
      <c r="A53" t="inlineStr">
        <is>
          <t>Headphones</t>
        </is>
      </c>
      <c r="B53" s="21" t="n">
        <v>268236.42</v>
      </c>
    </row>
    <row r="55">
      <c r="A55" s="15" t="inlineStr">
        <is>
          <t>Monthly Revenue Trend</t>
        </is>
      </c>
    </row>
    <row r="56">
      <c r="A56" s="16" t="inlineStr">
        <is>
          <t>Year</t>
        </is>
      </c>
      <c r="B56" s="16" t="inlineStr">
        <is>
          <t>Month</t>
        </is>
      </c>
      <c r="C56" s="16" t="inlineStr">
        <is>
          <t>Revenue</t>
        </is>
      </c>
    </row>
    <row r="57">
      <c r="A57" t="n">
        <v>2025</v>
      </c>
      <c r="B57" t="inlineStr">
        <is>
          <t>Jan</t>
        </is>
      </c>
      <c r="C57" s="21" t="n">
        <v>943189.25</v>
      </c>
    </row>
    <row r="58">
      <c r="A58" t="n">
        <v>2025</v>
      </c>
      <c r="B58" t="inlineStr">
        <is>
          <t>Feb</t>
        </is>
      </c>
      <c r="C58" s="21" t="n">
        <v>948562.61</v>
      </c>
    </row>
    <row r="59">
      <c r="A59" t="n">
        <v>2025</v>
      </c>
      <c r="B59" t="inlineStr">
        <is>
          <t>Mar</t>
        </is>
      </c>
      <c r="C59" s="21" t="n">
        <v>872471.1800000001</v>
      </c>
    </row>
    <row r="60">
      <c r="A60" t="n">
        <v>2025</v>
      </c>
      <c r="B60" t="inlineStr">
        <is>
          <t>Apr</t>
        </is>
      </c>
      <c r="C60" s="21" t="n">
        <v>621281.53</v>
      </c>
    </row>
    <row r="61">
      <c r="A61" t="n">
        <v>2025</v>
      </c>
      <c r="B61" t="inlineStr">
        <is>
          <t>May</t>
        </is>
      </c>
      <c r="C61" s="21" t="n">
        <v>2335952.54</v>
      </c>
    </row>
    <row r="62">
      <c r="A62" t="n">
        <v>2025</v>
      </c>
      <c r="B62" t="inlineStr">
        <is>
          <t>Jun</t>
        </is>
      </c>
      <c r="C62" s="21" t="n">
        <v>1143389.65</v>
      </c>
    </row>
    <row r="63">
      <c r="A63" t="n">
        <v>2025</v>
      </c>
      <c r="B63" t="inlineStr">
        <is>
          <t>Jul</t>
        </is>
      </c>
      <c r="C63" s="21" t="n">
        <v>1436667.93</v>
      </c>
    </row>
    <row r="64">
      <c r="A64" t="n">
        <v>2025</v>
      </c>
      <c r="B64" t="inlineStr">
        <is>
          <t>Aug</t>
        </is>
      </c>
      <c r="C64" s="21" t="n">
        <v>514754.86</v>
      </c>
    </row>
    <row r="65">
      <c r="A65" t="n">
        <v>2025</v>
      </c>
      <c r="B65" t="inlineStr">
        <is>
          <t>Sep</t>
        </is>
      </c>
      <c r="C65" s="21" t="n">
        <v>1331223.47</v>
      </c>
    </row>
    <row r="66">
      <c r="A66" t="n">
        <v>2025</v>
      </c>
      <c r="B66" t="inlineStr">
        <is>
          <t>Oct</t>
        </is>
      </c>
      <c r="C66" s="21" t="n">
        <v>881389.7000000001</v>
      </c>
    </row>
    <row r="67">
      <c r="A67" t="n">
        <v>2025</v>
      </c>
      <c r="B67" t="inlineStr">
        <is>
          <t>Nov</t>
        </is>
      </c>
      <c r="C67" s="21" t="n">
        <v>957969.1000000001</v>
      </c>
    </row>
    <row r="68">
      <c r="A68" t="n">
        <v>2025</v>
      </c>
      <c r="B68" t="inlineStr">
        <is>
          <t>Dec</t>
        </is>
      </c>
      <c r="C68" s="21" t="n">
        <v>891317.6100000001</v>
      </c>
    </row>
    <row r="69">
      <c r="A69" t="n">
        <v>2026</v>
      </c>
      <c r="B69" t="inlineStr">
        <is>
          <t>Jan</t>
        </is>
      </c>
      <c r="C69" s="21" t="n">
        <v>1787962.46</v>
      </c>
    </row>
    <row r="70">
      <c r="A70" t="n">
        <v>2026</v>
      </c>
      <c r="B70" t="inlineStr">
        <is>
          <t>Feb</t>
        </is>
      </c>
      <c r="C70" s="21" t="n">
        <v>585841.75</v>
      </c>
    </row>
    <row r="71">
      <c r="A71" t="n">
        <v>2026</v>
      </c>
      <c r="B71" t="inlineStr">
        <is>
          <t>Mar</t>
        </is>
      </c>
      <c r="C71" s="21" t="n">
        <v>1193871.82</v>
      </c>
    </row>
    <row r="72">
      <c r="A72" t="n">
        <v>2026</v>
      </c>
      <c r="B72" t="inlineStr">
        <is>
          <t>Apr</t>
        </is>
      </c>
      <c r="C72" s="21" t="n">
        <v>1963226.49</v>
      </c>
    </row>
    <row r="73">
      <c r="A73" t="n">
        <v>2026</v>
      </c>
      <c r="B73" t="inlineStr">
        <is>
          <t>May</t>
        </is>
      </c>
      <c r="C73" s="21" t="n">
        <v>1088873.59</v>
      </c>
    </row>
    <row r="74">
      <c r="A74" t="n">
        <v>2026</v>
      </c>
      <c r="B74" t="inlineStr">
        <is>
          <t>Jun</t>
        </is>
      </c>
      <c r="C74" s="21" t="n">
        <v>1970562.07</v>
      </c>
    </row>
    <row r="75">
      <c r="A75" t="n">
        <v>2026</v>
      </c>
      <c r="B75" t="inlineStr">
        <is>
          <t>Jul</t>
        </is>
      </c>
      <c r="C75" s="21" t="n">
        <v>1061641.6</v>
      </c>
    </row>
    <row r="76">
      <c r="A76" t="n">
        <v>2026</v>
      </c>
      <c r="B76" t="inlineStr">
        <is>
          <t>Aug</t>
        </is>
      </c>
      <c r="C76" s="21" t="n">
        <v>1540313.38</v>
      </c>
    </row>
    <row r="77">
      <c r="A77" s="18" t="inlineStr">
        <is>
          <t>Top 5 Products by Revenue</t>
        </is>
      </c>
      <c r="C77" s="21" t="n">
        <v>1029263.74</v>
      </c>
    </row>
    <row r="78">
      <c r="A78" s="16" t="inlineStr">
        <is>
          <t>Item</t>
        </is>
      </c>
      <c r="B78" s="16" t="inlineStr">
        <is>
          <t>Revenue</t>
        </is>
      </c>
    </row>
    <row r="79">
      <c r="A79" t="inlineStr">
        <is>
          <t>Laptop</t>
        </is>
      </c>
      <c r="B79" s="21" t="n">
        <v>9136020.16</v>
      </c>
    </row>
    <row r="80">
      <c r="A80" t="inlineStr">
        <is>
          <t>Smartphone</t>
        </is>
      </c>
      <c r="B80" s="21" t="n">
        <v>6101282.41</v>
      </c>
    </row>
    <row r="81">
      <c r="A81" t="inlineStr">
        <is>
          <t>Monitor</t>
        </is>
      </c>
      <c r="B81" s="21" t="n">
        <v>3322866.04</v>
      </c>
    </row>
    <row r="82">
      <c r="A82" t="inlineStr">
        <is>
          <t>Desk</t>
        </is>
      </c>
      <c r="B82" s="21" t="n">
        <v>2084935.28</v>
      </c>
    </row>
    <row r="83">
      <c r="A83" t="inlineStr">
        <is>
          <t>Printer</t>
        </is>
      </c>
      <c r="B83" s="21" t="n">
        <v>1989693.98</v>
      </c>
    </row>
  </sheetData>
  <mergeCells count="7">
    <mergeCell ref="A1:H1"/>
    <mergeCell ref="A77:B77"/>
    <mergeCell ref="A36:B36"/>
    <mergeCell ref="A44:B44"/>
    <mergeCell ref="A55:C55"/>
    <mergeCell ref="A27:B2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2026-10-07T15:33:40Z</dcterms:created>
  <dcterms:modified xmlns:dcterms="http://purl.org/dc/terms/" xmlns:xsi="http://www.w3.org/2001/XMLSchema-instance" xsi:type="dcterms:W3CDTF">2026-10-07T15:36:12Z</dcterms:modified>
</cp:coreProperties>
</file>